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Deals" sheetId="3" state="visible" r:id="rId5"/>
    <sheet name="Curve" sheetId="4" state="visible" r:id="rId6"/>
    <sheet name="Engine" sheetId="5" state="visible" r:id="rId7"/>
    <sheet name="History" sheetId="6" state="visible" r:id="rId8"/>
    <sheet name="Sources" sheetId="7" state="visible" r:id="rId9"/>
    <sheet name="UCI15_Poo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4" authorId="0">
      <text>
        <r>
          <rPr>
            <sz val="10"/>
            <rFont val="Arial"/>
            <family val="2"/>
          </rPr>
          <t xml:space="preserve">Solves S = B·i/((1+i)^n−1) for n with B = pool ref., S = observed scheduled principal.</t>
        </r>
      </text>
    </comment>
    <comment ref="G6" authorId="0">
      <text>
        <r>
          <rPr>
            <sz val="10"/>
            <rFont val="Arial"/>
            <family val="2"/>
          </rPr>
          <t xml:space="preserve">Must lie in [Last IPD, next IPD). Default: 24-Sep-2026.</t>
        </r>
      </text>
    </comment>
    <comment ref="G8" authorId="0">
      <text>
        <r>
          <rPr>
            <sz val="10"/>
            <rFont val="Arial"/>
            <family val="2"/>
          </rPr>
          <t xml:space="preserve">ILLUSTRATIVE placeholder — replace with market price.</t>
        </r>
      </text>
    </comment>
    <comment ref="G10" authorId="0">
      <text>
        <r>
          <rPr>
            <sz val="10"/>
            <rFont val="Arial"/>
            <family val="2"/>
          </rPr>
          <t xml:space="preserve">MAGEL 3: last reported 4.24% (Aug-26); 4.90/5.43/4.24 over Nov-25..Aug-26. See History.</t>
        </r>
      </text>
    </comment>
    <comment ref="G11" authorId="0">
      <text>
        <r>
          <rPr>
            <sz val="10"/>
            <rFont val="Arial"/>
            <family val="2"/>
          </rPr>
          <t xml:space="preserve">MAGEL 3 deemed losses 1.6-3.7k per quarter on ~125m (&lt;0.01% p.a.); 0.10% conservative base.</t>
        </r>
      </text>
    </comment>
    <comment ref="G12" authorId="0">
      <text>
        <r>
          <rPr>
            <sz val="10"/>
            <rFont val="Arial"/>
            <family val="2"/>
          </rPr>
          <t xml:space="preserve">Assumption.</t>
        </r>
      </text>
    </comment>
    <comment ref="G13" authorId="0">
      <text>
        <r>
          <rPr>
            <sz val="10"/>
            <rFont val="Arial"/>
            <family val="2"/>
          </rPr>
          <t xml:space="preserve">Assumption: Portuguese foreclosure ~2y.</t>
        </r>
      </text>
    </comment>
    <comment ref="G14" authorId="0">
      <text>
        <r>
          <rPr>
            <sz val="10"/>
            <rFont val="Arial"/>
            <family val="2"/>
          </rPr>
          <t xml:space="preserve">Linked to the deal row (last reported). Override to stress.</t>
        </r>
      </text>
    </comment>
    <comment ref="G15" authorId="0">
      <text>
        <r>
          <rPr>
            <sz val="10"/>
            <rFont val="Arial"/>
            <family val="2"/>
          </rPr>
          <t xml:space="preserve">Pool is already below 10% of cut-off: mode 1 calls at the next IPD.</t>
        </r>
      </text>
    </comment>
    <comment ref="G17" authorId="0">
      <text>
        <r>
          <rPr>
            <sz val="10"/>
            <rFont val="Arial"/>
            <family val="2"/>
          </rPr>
          <t xml:space="preserve">ILLUSTRATIVE (= last Magellan 3 fixing). Paste a forward curve in Curve!C and set use-curve = 1.</t>
        </r>
      </text>
    </comment>
    <comment ref="G19" authorId="0">
      <text>
        <r>
          <rPr>
            <sz val="10"/>
            <rFont val="Arial"/>
            <family val="2"/>
          </rPr>
          <t xml:space="preserve">Magellan 3/4 reports show Accrual Rate 0.000% when index+margin &lt; 0 (2018-2021): coupon floored at 0. (Aug-2017 showed -0.069%: floor applied from 2018.)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Last issuer report read</t>
        </r>
      </text>
    </comment>
    <comment ref="K2" authorId="0">
      <text>
        <r>
          <rPr>
            <sz val="10"/>
            <rFont val="Arial"/>
            <family val="2"/>
          </rPr>
          <t xml:space="preserve">Class A balance after last IPD</t>
        </r>
      </text>
    </comment>
    <comment ref="L2" authorId="0">
      <text>
        <r>
          <rPr>
            <sz val="10"/>
            <rFont val="Arial"/>
            <family val="2"/>
          </rPr>
          <t xml:space="preserve">B+C+D balances after last IPD</t>
        </r>
      </text>
    </comment>
    <comment ref="M2" authorId="0">
      <text>
        <r>
          <rPr>
            <sz val="10"/>
            <rFont val="Arial"/>
            <family val="2"/>
          </rPr>
          <t xml:space="preserve">Class A margin (post step-up for Magellan)</t>
        </r>
      </text>
    </comment>
    <comment ref="N2" authorId="0">
      <text>
        <r>
          <rPr>
            <sz val="10"/>
            <rFont val="Arial"/>
            <family val="2"/>
          </rPr>
          <t xml:space="preserve">Balance-weighted subordinate margins</t>
        </r>
      </text>
    </comment>
    <comment ref="O2" authorId="0">
      <text>
        <r>
          <rPr>
            <sz val="10"/>
            <rFont val="Arial"/>
            <family val="2"/>
          </rPr>
          <t xml:space="preserve">Index fixing for the CURRENT accrual period. Magellan: placeholder = previous fixing (replace with EUR003M on reset date). UCI 15: actual 2.408% from report</t>
        </r>
      </text>
    </comment>
    <comment ref="P2" authorId="0">
      <text>
        <r>
          <rPr>
            <sz val="10"/>
            <rFont val="Arial"/>
            <family val="2"/>
          </rPr>
          <t xml:space="preserve">Pool balance (Magellan: net of deemed losses; UCI: saldo derechos)</t>
        </r>
      </text>
    </comment>
    <comment ref="R2" authorId="0">
      <text>
        <r>
          <rPr>
            <sz val="10"/>
            <rFont val="Arial"/>
            <family val="2"/>
          </rPr>
          <t xml:space="preserve">WA interest rate of collateral</t>
        </r>
      </text>
    </comment>
    <comment ref="S2" authorId="0">
      <text>
        <r>
          <rPr>
            <sz val="10"/>
            <rFont val="Arial"/>
            <family val="2"/>
          </rPr>
          <t xml:space="preserve">Base of the observed scheduled principal</t>
        </r>
      </text>
    </comment>
    <comment ref="T2" authorId="0">
      <text>
        <r>
          <rPr>
            <sz val="10"/>
            <rFont val="Arial"/>
            <family val="2"/>
          </rPr>
          <t xml:space="preserve">Scheduled principal of last quarter (UCI 15: estimated as total - prepay at 12m CPR)</t>
        </r>
      </text>
    </comment>
    <comment ref="U2" authorId="0">
      <text>
        <r>
          <rPr>
            <sz val="10"/>
            <rFont val="Arial"/>
            <family val="2"/>
          </rPr>
          <t xml:space="preserve">Last reported CPR (UCI 15: 12-month)</t>
        </r>
      </text>
    </comment>
    <comment ref="V2" authorId="0">
      <text>
        <r>
          <rPr>
            <sz val="10"/>
            <rFont val="Arial"/>
            <family val="2"/>
          </rPr>
          <t xml:space="preserve">90d+ arrears used by the pro-rata / trigger test</t>
        </r>
      </text>
    </comment>
    <comment ref="X2" authorId="0">
      <text>
        <r>
          <rPr>
            <sz val="10"/>
            <rFont val="Arial"/>
            <family val="2"/>
          </rPr>
          <t xml:space="preserve">Magellan: A/A_orig &lt;= 75%. UCI 15: no A-ratio condition (100%)</t>
        </r>
      </text>
    </comment>
    <comment ref="Y2" authorId="0">
      <text>
        <r>
          <rPr>
            <sz val="10"/>
            <rFont val="Arial"/>
            <family val="2"/>
          </rPr>
          <t xml:space="preserve">Magellan 1.80% of CDD balance; UCI 15: B/C amortise only if 90d+ arrears &lt;= 2% of pool</t>
        </r>
      </text>
    </comment>
    <comment ref="Z2" authorId="0">
      <text>
        <r>
          <rPr>
            <sz val="10"/>
            <rFont val="Arial"/>
            <family val="2"/>
          </rPr>
          <t xml:space="preserve">Clean-up call: 10% of initial pool (UCI 15 and Hipocat 11 confirmed in filings; Magellan to confirm in prospectus)</t>
        </r>
      </text>
    </comment>
    <comment ref="AA2" authorId="0">
      <text>
        <r>
          <rPr>
            <sz val="10"/>
            <rFont val="Arial"/>
            <family val="2"/>
          </rPr>
          <t xml:space="preserve">Fixed expenses per quarter, calibrated on last reports</t>
        </r>
      </text>
    </comment>
    <comment ref="AB2" authorId="0">
      <text>
        <r>
          <rPr>
            <sz val="10"/>
            <rFont val="Arial"/>
            <family val="2"/>
          </rPr>
          <t xml:space="preserve">Servicer fee bp p.a.</t>
        </r>
      </text>
    </comment>
  </commentList>
</comments>
</file>

<file path=xl/sharedStrings.xml><?xml version="1.0" encoding="utf-8"?>
<sst xmlns="http://schemas.openxmlformats.org/spreadsheetml/2006/main" count="2428" uniqueCount="806">
  <si>
    <t xml:space="preserve">RMBS cash-flow valuation model — senior tranches, issuer-reported history</t>
  </si>
  <si>
    <t xml:space="preserve">Purpose</t>
  </si>
  <si>
    <t xml:space="preserve">Values a senior RMBS tranche from projected cash flows anchored on the last issuer-reported IPD, not on Bloomberg's factor/payment history.</t>
  </si>
  <si>
    <t xml:space="preserve">Collateral: quarterly step. Defaults (CDR), scheduled amortisation (level annuity, remaining term implied from the last reported scheduled principal), prepayments (CPR), recoveries after a lag.</t>
  </si>
  <si>
    <t xml:space="preserve">Liabilities: Class A vs aggregated subordinate notes; pro-rata / sequential switch on the prospectus tests; excess spread cures a Principal Deficiency Ledger (PDL); optional clean-up call; legal-final sweep.</t>
  </si>
  <si>
    <t xml:space="preserve">Pricing: price &lt;-&gt; discount margin (Newton on the projected index curve, ACT/360 simple per period), yield by XIRR, WAL, spread duration.</t>
  </si>
  <si>
    <t xml:space="preserve">Colour code</t>
  </si>
  <si>
    <t xml:space="preserve">Blue text = hard input · Yellow fill = key assumption / cell to fill · Black = formula · Green = link to another sheet.</t>
  </si>
  <si>
    <t xml:space="preserve">Workflow</t>
  </si>
  <si>
    <t xml:space="preserve">1. Run rmbs_harvester.py (internet machine) -&gt; out/&lt;ISIN&gt;.csv. Paste rows into 'History' (same column order).</t>
  </si>
  <si>
    <t xml:space="preserve">2. In 'Deals', update the selected ISIN's row from the latest report (balances, margins, pool, WAC, scheduled principal, fixing).</t>
  </si>
  <si>
    <t xml:space="preserve">3. In 'Inputs', pick the ISIN, set settlement (must fall before the next IPD), CPR/CDR/severity/lag, call mode, curve.</t>
  </si>
  <si>
    <t xml:space="preserve">4. Paste a EUR 3M forward curve into 'Curve'!C (optional; else flat rate). Read outputs in 'Inputs'!J:K.</t>
  </si>
  <si>
    <t xml:space="preserve">5. 'History' shows accounting checks (balance, factor, per-note, coupon, interest) and realised CPR; paste Bloomberg factor/principal to see the deltas.</t>
  </si>
  <si>
    <t xml:space="preserve">Current state</t>
  </si>
  <si>
    <t xml:space="preserve">Current state (refreshed by python -m rmbs.workbook)</t>
  </si>
  <si>
    <t xml:space="preserve">History: 62 issuer-reported IPD rows (all ISINs); Deals: all 17 ISINs from config/deals/*.yaml (prospectus terms; null = not yet read -&gt; CONFIG_INCOMPLETE) + the last filed IPD. Valuation date 2026-09-23.</t>
  </si>
  <si>
    <t xml:space="preserve">Inputs!G20 = Class A principal paid/due (principal-shortfall option, Hipocat 11: 2019 paid/due 0.03-0.09); unpaid principal is carried in Engine!BF and swept at the last live IPD.</t>
  </si>
  <si>
    <t xml:space="preserve">Clean price 98.50, the flat 3M curve and the current-period fixings are placeholders - replace with market inputs.</t>
  </si>
  <si>
    <t xml:space="preserve">Model acceptance per ISIN: out/champion_models.csv (NO_RELIABLE_MODEL = price only under an explicit scenario).</t>
  </si>
  <si>
    <t xml:space="preserve">RMBS senior tranche — cash-flow valuation</t>
  </si>
  <si>
    <t xml:space="preserve">Selected ISIN</t>
  </si>
  <si>
    <t xml:space="preserve">XS0222684655</t>
  </si>
  <si>
    <t xml:space="preserve">Deal data (linked from Deals)</t>
  </si>
  <si>
    <t xml:space="preserve">Scenario &amp; pricing assumptions</t>
  </si>
  <si>
    <t xml:space="preserve">Valuation outputs</t>
  </si>
  <si>
    <t xml:space="preserve">Ticker</t>
  </si>
  <si>
    <t xml:space="preserve">Settlement date</t>
  </si>
  <si>
    <t xml:space="preserve">Clean price</t>
  </si>
  <si>
    <t xml:space="preserve">Last IPD</t>
  </si>
  <si>
    <t xml:space="preserve">Mode: PRICE (price→DM) or DM (DM→price)</t>
  </si>
  <si>
    <t xml:space="preserve">PRICE</t>
  </si>
  <si>
    <t xml:space="preserve">Accrued (per 100)</t>
  </si>
  <si>
    <t xml:space="preserve">Next IPD (unadjusted)</t>
  </si>
  <si>
    <t xml:space="preserve">Clean price (per 100 current face)</t>
  </si>
  <si>
    <t xml:space="preserve">Dirty price</t>
  </si>
  <si>
    <t xml:space="preserve">Legal final</t>
  </si>
  <si>
    <t xml:space="preserve">Input discount margin (bp) — used in DM mode</t>
  </si>
  <si>
    <t xml:space="preserve">Discount margin (bp)</t>
  </si>
  <si>
    <t xml:space="preserve">A original (€)</t>
  </si>
  <si>
    <t xml:space="preserve">CPR (annual)</t>
  </si>
  <si>
    <t xml:space="preserve">Yield, annual effective (XIRR, ACT/365)</t>
  </si>
  <si>
    <t xml:space="preserve">A current (€)</t>
  </si>
  <si>
    <t xml:space="preserve">CDR (annual)</t>
  </si>
  <si>
    <t xml:space="preserve">Yield, quarterly compounded</t>
  </si>
  <si>
    <t xml:space="preserve">Subordinate current (€)</t>
  </si>
  <si>
    <t xml:space="preserve">Loss severity</t>
  </si>
  <si>
    <t xml:space="preserve">WAL (years, ACT/365)</t>
  </si>
  <si>
    <t xml:space="preserve">A margin</t>
  </si>
  <si>
    <t xml:space="preserve">Recovery lag (quarters)</t>
  </si>
  <si>
    <t xml:space="preserve">Spread duration (±10bp DM)</t>
  </si>
  <si>
    <t xml:space="preserve">Sub WA margin</t>
  </si>
  <si>
    <t xml:space="preserve">90d+ arrears ratio for pro-rata test</t>
  </si>
  <si>
    <t xml:space="preserve">Time to next reset (years)</t>
  </si>
  <si>
    <t xml:space="preserve">Current-period index fixing</t>
  </si>
  <si>
    <t xml:space="preserve">Call mode: 0 none · 1 first eligible IPD · 2 on/after date</t>
  </si>
  <si>
    <t xml:space="preserve">Last principal date</t>
  </si>
  <si>
    <t xml:space="preserve">Pool current, net (€)</t>
  </si>
  <si>
    <t xml:space="preserve">Call date (mode 2)</t>
  </si>
  <si>
    <t xml:space="preserve">Projected principal loss, Class A (€)</t>
  </si>
  <si>
    <t xml:space="preserve">Pool at cut-off (€)</t>
  </si>
  <si>
    <t xml:space="preserve">Flat EUR 3M forward (if no curve)</t>
  </si>
  <si>
    <t xml:space="preserve">Call date used</t>
  </si>
  <si>
    <t xml:space="preserve">WAC</t>
  </si>
  <si>
    <t xml:space="preserve">Use Curve sheet (1/0)</t>
  </si>
  <si>
    <t xml:space="preserve">DM solver residual (€)</t>
  </si>
  <si>
    <t xml:space="preserve">Pool ref. for sched. (€)</t>
  </si>
  <si>
    <t xml:space="preserve">Class A coupon floor (blank = none)</t>
  </si>
  <si>
    <t xml:space="preserve">Freshness check</t>
  </si>
  <si>
    <t xml:space="preserve">Observed sched. principal (€/qtr)</t>
  </si>
  <si>
    <t xml:space="preserve">Class A principal paid / due (1 = no shortfall; Hipocat 11 option)</t>
  </si>
  <si>
    <t xml:space="preserve">Class A principal conservation (should be 0)</t>
  </si>
  <si>
    <t xml:space="preserve">Pro-rata allowed (1/0)</t>
  </si>
  <si>
    <t xml:space="preserve">Quarterly prepay rate 1-(1-CPR)^0.25</t>
  </si>
  <si>
    <t xml:space="preserve">Class A total cash flow (€)</t>
  </si>
  <si>
    <t xml:space="preserve">Pro-rata: A/A_orig &lt;=</t>
  </si>
  <si>
    <t xml:space="preserve">Quarterly default rate 1-(1-CDR)^0.25</t>
  </si>
  <si>
    <t xml:space="preserve">Projected A factor in 1y</t>
  </si>
  <si>
    <t xml:space="preserve">Pro-rata: arrears &lt;</t>
  </si>
  <si>
    <t xml:space="preserve">Quarterly WAC</t>
  </si>
  <si>
    <t xml:space="preserve">Clean-up call threshold</t>
  </si>
  <si>
    <t xml:space="preserve">Implied remaining term (quarters)</t>
  </si>
  <si>
    <t xml:space="preserve">Legend: blue = input, yellow = assumption to set, green = link to Deals, black = formula.</t>
  </si>
  <si>
    <t xml:space="preserve">Fees fixed (€/qtr)</t>
  </si>
  <si>
    <t xml:space="preserve">Implied remaining term (years)</t>
  </si>
  <si>
    <t xml:space="preserve">Fees (bp p.a.)</t>
  </si>
  <si>
    <t xml:space="preserve">Accrued (€)</t>
  </si>
  <si>
    <t xml:space="preserve">Reported CPR last qtr</t>
  </si>
  <si>
    <t xml:space="preserve">Dirty amount target (€)</t>
  </si>
  <si>
    <t xml:space="preserve">Data status</t>
  </si>
  <si>
    <t xml:space="preserve">90d+ arrears ratio (reported)</t>
  </si>
  <si>
    <t xml:space="preserve">History calibration (selected ISIN)</t>
  </si>
  <si>
    <t xml:space="preserve">IPDs in History</t>
  </si>
  <si>
    <t xml:space="preserve">Latest IPD in History</t>
  </si>
  <si>
    <t xml:space="preserve">Mean realised CPR (prepay only), last 12m</t>
  </si>
  <si>
    <t xml:space="preserve">Rows not 'ok' after validation (count)</t>
  </si>
  <si>
    <t xml:space="preserve">Last IPD in History = Deals last IPD?</t>
  </si>
  <si>
    <t xml:space="preserve">ISIN</t>
  </si>
  <si>
    <t xml:space="preserve">Deal</t>
  </si>
  <si>
    <t xml:space="preserve">Country</t>
  </si>
  <si>
    <t xml:space="preserve">Reporting entity</t>
  </si>
  <si>
    <t xml:space="preserve">As-of IPD (last report)</t>
  </si>
  <si>
    <t xml:space="preserve">Next IPD (unadj.)</t>
  </si>
  <si>
    <t xml:space="preserve">Pool current, net of deemed losses (€)</t>
  </si>
  <si>
    <t xml:space="preserve">Pool ref. for sched. amort. (€)</t>
  </si>
  <si>
    <t xml:space="preserve">Observed sched. principal last qtr (€)</t>
  </si>
  <si>
    <t xml:space="preserve">90-365d arrears ratio</t>
  </si>
  <si>
    <t xml:space="preserve">Clean-up call (% of cut-off pool)</t>
  </si>
  <si>
    <t xml:space="preserve">Fees (bp p.a. of pool)</t>
  </si>
  <si>
    <t xml:space="preserve">IPD rule</t>
  </si>
  <si>
    <t xml:space="preserve">Margin step-ups</t>
  </si>
  <si>
    <t xml:space="preserve">Coupon floor</t>
  </si>
  <si>
    <t xml:space="preserve">Amortisation / triggers</t>
  </si>
  <si>
    <t xml:space="preserve">Reserve</t>
  </si>
  <si>
    <t xml:space="preserve">Issuer-stated call</t>
  </si>
  <si>
    <t xml:space="preserve">Principal shortfall option</t>
  </si>
  <si>
    <t xml:space="preserve">Conflicts / unverified</t>
  </si>
  <si>
    <t xml:space="preserve">MAGEL 3 A</t>
  </si>
  <si>
    <t xml:space="preserve">Magellan Mortgages No. 3 plc</t>
  </si>
  <si>
    <t xml:space="preserve">PT</t>
  </si>
  <si>
    <t xml:space="preserve">BCP</t>
  </si>
  <si>
    <t xml:space="preserve">History 23 IPDs to 2026-08-17; gate INCOMPLETE; model NO_RELIABLE_MODEL; CONFIG_INCOMPLETE: fees,swap</t>
  </si>
  <si>
    <t xml:space="preserve">{"months": [2, 5, 8, 11], "day": 15, "convention": "following", "calendar": "PT"}</t>
  </si>
  <si>
    <t xml:space="preserve">2012-08-15: 26bp</t>
  </si>
  <si>
    <t xml:space="preserve">0.0 from 2018-01-01</t>
  </si>
  <si>
    <t xml:space="preserve">{"amortisation": {"mode": "pro_rata_if_test_pass", "switch_to_sequential_if": ["Pro-Rata Test FAIL (report Sec.3)"]}, "triggers": {"prorata_A_over_A_orig_max": null, "arrears_90_365_ratio_max": null, "note": "test result is read from each report (Pro</t>
  </si>
  <si>
    <t xml:space="preserve">{"observed": [{"date": "2009-02-16", "balance": 13500000}, {"date": "2026-08-17", "balance": 9000000}], "required_rule": null}</t>
  </si>
  <si>
    <t xml:space="preserve">no</t>
  </si>
  <si>
    <t xml:space="preserve">legal_final day (Notes due 2058 per Euronext RIS; day from original model); coupon_floor_from: Aug-2017 coupon -0.069%, Nov-2017 not read; swap; fees</t>
  </si>
  <si>
    <t xml:space="preserve">XS0260784318</t>
  </si>
  <si>
    <t xml:space="preserve">MAGEL 4 A</t>
  </si>
  <si>
    <t xml:space="preserve">Magellan Mortgages No. 4 plc</t>
  </si>
  <si>
    <t xml:space="preserve">History 10 IPDs to 2026-07-20; gate INCOMPLETE; model NO_RELIABLE_MODEL (THIN_HISTORY); CONFIG_INCOMPLETE: fees,swap</t>
  </si>
  <si>
    <t xml:space="preserve">{"months": [1, 4, 7, 10], "day": 20, "convention": "following", "calendar": "PT"}</t>
  </si>
  <si>
    <t xml:space="preserve">2017-04-20: 28bp</t>
  </si>
  <si>
    <t xml:space="preserve">0.0 from 2017-04-20</t>
  </si>
  <si>
    <t xml:space="preserve">{"amortisation": {"mode": "pro_rata_if_test_pass", "note": "pro-rata since Jul-2008 (Moody's Feb-2021)"}, "triggers": {"note": "Pro-Rata Test read from each report; thresholds not transcribed"}}</t>
  </si>
  <si>
    <t xml:space="preserve">{"observed": [{"date": "2021-02-01", "balance": 9000000, "note": "at floor (Moody's)"}], "required_rule": null}</t>
  </si>
  <si>
    <t xml:space="preserve">margin step-up IPD (bounded, see margin_steps); coupon_floor_from: first floored IPD observed is Apr-2017 (earlier reports not read); clean_up_call_pct (from original model, prospectus not read); legal_final day; swap; fees</t>
  </si>
  <si>
    <t xml:space="preserve">XS0230694233</t>
  </si>
  <si>
    <t xml:space="preserve">LUSI 4 A</t>
  </si>
  <si>
    <t xml:space="preserve">Lusitano Mortgages No. 4 plc</t>
  </si>
  <si>
    <t xml:space="preserve">Citibank N.A. / novobanco</t>
  </si>
  <si>
    <t xml:space="preserve">History 0 IPDs; gate MANUAL_REQUIRED; model MANUAL_REQUIRED; CONFIG_INCOMPLETE: amortisation,clean_up_call_pct,coupon_floor,denomination,fees,ipd_rule,legal_final,notes,reserve,swap,triggers</t>
  </si>
  <si>
    <t xml:space="preserve">null</t>
  </si>
  <si>
    <t xml:space="preserve">none known</t>
  </si>
  <si>
    <t xml:space="preserve">{"amortisation": null, "triggers": null}</t>
  </si>
  <si>
    <t xml:space="preserve">legal final: ESFG 'December 2048' vs oblible 14-Sep-2048</t>
  </si>
  <si>
    <t xml:space="preserve">XS0268642161</t>
  </si>
  <si>
    <t xml:space="preserve">LUSI 5 A</t>
  </si>
  <si>
    <t xml:space="preserve">Lusitano Mortgages No. 5 plc</t>
  </si>
  <si>
    <t xml:space="preserve">History 0 IPDs; gate MANUAL_REQUIRED; model MANUAL_REQUIRED; CONFIG_INCOMPLETE: amortisation,clean_up_call_pct,coupon_floor,denomination,fees,ipd_rule,margin_bp,notes,original_balance,reserve,swap,triggers</t>
  </si>
  <si>
    <t xml:space="preserve">XS0312981649</t>
  </si>
  <si>
    <t xml:space="preserve">LUSI 6 A</t>
  </si>
  <si>
    <t xml:space="preserve">Lusitano Mortgages No. 6 plc</t>
  </si>
  <si>
    <t xml:space="preserve">History 0 IPDs; gate MANUAL_REQUIRED; model MANUAL_REQUIRED; CONFIG_INCOMPLETE: amortisation,clean_up_call_pct,coupon_floor,denomination,fees,ipd_rule,legal_final,margin_bp,notes,original_balance,reserve,swap,triggers</t>
  </si>
  <si>
    <t xml:space="preserve">ES0377992005</t>
  </si>
  <si>
    <t xml:space="preserve">TDAC 5 A</t>
  </si>
  <si>
    <t xml:space="preserve">TDA CAM 5, FTA</t>
  </si>
  <si>
    <t xml:space="preserve">ES</t>
  </si>
  <si>
    <t xml:space="preserve">Titulizacion de Activos SGFT</t>
  </si>
  <si>
    <t xml:space="preserve">History 8 IPDs to 2022-10-26; gate INCOMPLETE; model NO_RELIABLE_MODEL (THIN_HISTORY); CONFIG_INCOMPLETE: fees,swap; pool/WAC/sched. principal not in the filings held</t>
  </si>
  <si>
    <t xml:space="preserve">{"months": [1, 4, 7, 10], "day": 26, "convention": "following", "calendar": "TARGET"}</t>
  </si>
  <si>
    <t xml:space="preserve">0.0 from 2016-01-01 to 2022-04-30</t>
  </si>
  <si>
    <t xml:space="preserve">{"amortisation": {"mode": "sequential", "note": "A then B"}, "triggers": {"note": "sequential; no pro-rata"}}</t>
  </si>
  <si>
    <t xml:space="preserve">{"note": "non-amortising reserve fund (Moody's)"}</t>
  </si>
  <si>
    <t xml:space="preserve">fees; swap; first_ipd; reserve size</t>
  </si>
  <si>
    <t xml:space="preserve">ES0377993029</t>
  </si>
  <si>
    <t xml:space="preserve">TDAC 6 A3</t>
  </si>
  <si>
    <t xml:space="preserve">TDA CAM 6, FTA</t>
  </si>
  <si>
    <t xml:space="preserve">History 0 IPDs; gate NO_HISTORY; model NO_RELIABLE_MODEL; CONFIG_INCOMPLETE: clean_up_call_pct,coupon_floor,fees,margin_bp,notes,original_balance,reserve,swap,triggers</t>
  </si>
  <si>
    <t xml:space="preserve">{"months": [1, 4, 7, 10], "day": 28, "convention": "following", "calendar": "TARGET", "inferred": "from legal final 28-Apr-2044"}</t>
  </si>
  <si>
    <t xml:space="preserve">{"amortisation": {"mode": "sequential", "note": "Moody's: sequential, non-amortising reserve; Fitch: sequential once pool &lt; 10%"}, "triggers": null}</t>
  </si>
  <si>
    <t xml:space="preserve">amortisation: Moody's sequential vs Fitch pro-rata until pool &lt; 10%; ipd_rule (inferred from legal final date); denomination</t>
  </si>
  <si>
    <t xml:space="preserve">ES0377994019</t>
  </si>
  <si>
    <t xml:space="preserve">TDAC 7 A2</t>
  </si>
  <si>
    <t xml:space="preserve">TDA CAM 7, FTA</t>
  </si>
  <si>
    <t xml:space="preserve">{"months": [2, 5, 8, 11], "day": 26, "convention": "following", "calendar": "TARGET", "inferred": "from legal final 26-Feb-2049"}</t>
  </si>
  <si>
    <t xml:space="preserve">{"amortisation": {"mode": "sequential", "note": "A1/A2/A3 order per prospectus not yet read; Moody's: sequential"}, "triggers": null}</t>
  </si>
  <si>
    <t xml:space="preserve">ipd_rule (inferred); denomination; A2/A3 sequencing</t>
  </si>
  <si>
    <t xml:space="preserve">ES0377994027</t>
  </si>
  <si>
    <t xml:space="preserve">TDAC 7 A3</t>
  </si>
  <si>
    <t xml:space="preserve">ES0377966009</t>
  </si>
  <si>
    <t xml:space="preserve">TDAC 8 A</t>
  </si>
  <si>
    <t xml:space="preserve">TDA CAM 8, FTA</t>
  </si>
  <si>
    <t xml:space="preserve">History 2 IPDs to 2020-11-26; gate NO_HISTORY; model NO_RELIABLE_MODEL; CONFIG_INCOMPLETE: clean_up_call_pct,coupon_floor,fees,margin_bp,swap,triggers; pool/WAC/sched. principal not in the filings held</t>
  </si>
  <si>
    <t xml:space="preserve">{"months": [2, 5, 8, 11], "day": 26, "convention": "following", "calendar": "TARGET"}</t>
  </si>
  <si>
    <t xml:space="preserve">{"amortisation": {"mode": "pro_rata_while_pool_factor_ge", "threshold": 0.1, "note": "now irreversibly sequential (Fitch Dec-2025)"}, "triggers": null}</t>
  </si>
  <si>
    <t xml:space="preserve">{"observed": [{"date": "2020-11-26", "balance": 8500000}], "note": "at floor (Fitch Dec-2025)"}</t>
  </si>
  <si>
    <t xml:space="preserve">margin</t>
  </si>
  <si>
    <t xml:space="preserve">ES0377955010</t>
  </si>
  <si>
    <t xml:space="preserve">TDAC 9 A2</t>
  </si>
  <si>
    <t xml:space="preserve">TDA CAM 9, FTA</t>
  </si>
  <si>
    <t xml:space="preserve">History 0 IPDs; gate NO_HISTORY; model NO_RELIABLE_MODEL; CONFIG_INCOMPLETE: clean_up_call_pct,coupon_floor,fees,margin_bp,notes,original_balance,triggers</t>
  </si>
  <si>
    <t xml:space="preserve">{"months": [1, 4, 7, 10], "day": 28, "convention": "following", "calendar": "TARGET", "inferred": "from legal final 28-Apr-2050"}</t>
  </si>
  <si>
    <t xml:space="preserve">{"amortisation": {"mode": "sequential", "note": "B/C/D interest-deferral triggers breached (Fitch Dec-2025)"}, "triggers": null}</t>
  </si>
  <si>
    <t xml:space="preserve">{"note": "at floor since Oct-2025"}</t>
  </si>
  <si>
    <t xml:space="preserve">ipd_rule (inferred); closing day</t>
  </si>
  <si>
    <t xml:space="preserve">ES0359091016</t>
  </si>
  <si>
    <t xml:space="preserve">CAJAM 2006-1 A2</t>
  </si>
  <si>
    <t xml:space="preserve">MADRID RMBS I, FTA</t>
  </si>
  <si>
    <t xml:space="preserve">History 0 IPDs; gate NO_HISTORY; model NO_RELIABLE_MODEL; CONFIG_INCOMPLETE: clean_up_call_pct,coupon_floor,fees,margin_bp,notes,original_balance,swap,triggers</t>
  </si>
  <si>
    <t xml:space="preserve">{"months": [3, 6, 9, 12], "day": 22, "convention": "following", "calendar": "TARGET", "inferred": "from legal final 22-Jun-2049"}</t>
  </si>
  <si>
    <t xml:space="preserve">{"amortisation": {"mode": "sequential", "note": "pro-rata condition not met (S&amp;P 2022)"}, "triggers": null}</t>
  </si>
  <si>
    <t xml:space="preserve">{"note": "fully depleted Mar-2013..Apr-2019; ~11% of target in 2022 (S&amp;P)"}</t>
  </si>
  <si>
    <t xml:space="preserve">ipd_rule (inferred); margin (only AAA weighted 13.44bp seen)</t>
  </si>
  <si>
    <t xml:space="preserve">ES0380957003</t>
  </si>
  <si>
    <t xml:space="preserve">UCI 15 A</t>
  </si>
  <si>
    <t xml:space="preserve">F.T.A. U.C.I. 15</t>
  </si>
  <si>
    <t xml:space="preserve">Santander de Titulizacion SGFT</t>
  </si>
  <si>
    <t xml:space="preserve">History 3 IPDs to 2026-06-18; gate INCOMPLETE; model NO_RELIABLE_MODEL; CONFIG_INCOMPLETE: coupon_floor,fees,swap</t>
  </si>
  <si>
    <t xml:space="preserve">{"months": [3, 6, 9, 12], "day": 18, "convention": "following", "calendar": "TARGET"}</t>
  </si>
  <si>
    <t xml:space="preserve">{"amortisation": {"mode": "pro_rata_unless_trigger", "note": "90d+ arrears trigger reached -&gt; B and C not amortised"}, "triggers": {"arrears_90d_ratio_max": 0.02, "observed_2026_06": 0.0899}}</t>
  </si>
  <si>
    <t xml:space="preserve">{"observed": [{"date": "2026-06-18", "balance": 11440000}]}</t>
  </si>
  <si>
    <t xml:space="preserve">2027-12-20</t>
  </si>
  <si>
    <t xml:space="preserve">legal final: santandermedia asset 18-Dec-2045 vs original workbook 18-Dec-2048</t>
  </si>
  <si>
    <t xml:space="preserve">ES0338186010</t>
  </si>
  <si>
    <t xml:space="preserve">UCI 16 A2</t>
  </si>
  <si>
    <t xml:space="preserve">F.T.A. U.C.I. 16</t>
  </si>
  <si>
    <t xml:space="preserve">History 0 IPDs; gate NO_HISTORY; model NO_RELIABLE_MODEL; CONFIG_INCOMPLETE: amortisation,clean_up_call_pct,coupon_floor,denomination,fees,ipd_rule,legal_final,margin_bp,notes,original_balance,reserve,swap,triggers</t>
  </si>
  <si>
    <t xml:space="preserve">IPD 16-Sep-2026 announced on BME (HANDOFF) - months not confirmed</t>
  </si>
  <si>
    <t xml:space="preserve">ES0345672010</t>
  </si>
  <si>
    <t xml:space="preserve">HIPO 11 A2</t>
  </si>
  <si>
    <t xml:space="preserve">HIPOCAT 11, FTA</t>
  </si>
  <si>
    <t xml:space="preserve">Europea de Titulizacion</t>
  </si>
  <si>
    <t xml:space="preserve">History 16 IPDs to 2019-10-15; gate INCOMPLETE; model NO_RELIABLE_MODEL; CONFIG_INCOMPLETE: coupon_floor,fees,swap; pool/WAC/sched. principal not in the filings held</t>
  </si>
  <si>
    <t xml:space="preserve">{"months": [1, 4, 7, 10], "day": 15, "convention": "following", "calendar": "TARGET"}</t>
  </si>
  <si>
    <t xml:space="preserve">{"amortisation": {"mode": "pro_rata_if_conditions", "note": "A1/A2/A3 split by date-dependent rule; conditions in accounts trigger annex (reserve at required, arrears&lt;1%, pool&gt;10%, C&gt;=8%)"}, "triggers": {"arrears_3m_ratio_max": 0.01, "pool_factor_min</t>
  </si>
  <si>
    <t xml:space="preserve">{"required": 28000000, "observed": [{"date": "2016-12-31", "note": "Fondo de Reserva dotado 40.87 (EUR) vs requerido 28,000,000"}]}</t>
  </si>
  <si>
    <t xml:space="preserve">YES (set Inputs!G20 = paid/due)</t>
  </si>
  <si>
    <t xml:space="preserve">printed IPDs 2015-16 fall on the 21st-23rd, 2018-19 on the 15th (see calendar_checks)</t>
  </si>
  <si>
    <t xml:space="preserve">ES0345721015</t>
  </si>
  <si>
    <t xml:space="preserve">HIPO 9 A2a</t>
  </si>
  <si>
    <t xml:space="preserve">HIPOCAT 9, FTA</t>
  </si>
  <si>
    <t xml:space="preserve">History 0 IPDs; gate NO_HISTORY; model NO_RELIABLE_MODEL; CONFIG_INCOMPLETE: amortisation,clean_up_call_pct,coupon_floor,fees,legal_final,reserve,swap,triggers</t>
  </si>
  <si>
    <t xml:space="preserve">notes (inferred: original / 100,000)</t>
  </si>
  <si>
    <t xml:space="preserve">ES0345721023</t>
  </si>
  <si>
    <t xml:space="preserve">HIPO 9 A2b</t>
  </si>
  <si>
    <t xml:space="preserve">EUR 3M forward curve by IPD (paste forwards in column C, decimal; e.g. from Bloomberg FWCV / S0045 forward rates)</t>
  </si>
  <si>
    <t xml:space="preserve">k</t>
  </si>
  <si>
    <t xml:space="preserve">IPD date</t>
  </si>
  <si>
    <t xml:space="preserve">Forward 3M (paste)</t>
  </si>
  <si>
    <t xml:space="preserve">Rate used</t>
  </si>
  <si>
    <t xml:space="preserve">Projection engine — quarterly IPD step (row 10 = state after last reported IPD)</t>
  </si>
  <si>
    <t xml:space="preserve">Newton on DM: row 7 = DM tried, row 8 = PV(€) = Σ CF·Π 1/(1+(index+DM)τ'), row 9 = next DM</t>
  </si>
  <si>
    <t xml:space="preserve">iter 0</t>
  </si>
  <si>
    <t xml:space="preserve">iter 1</t>
  </si>
  <si>
    <t xml:space="preserve">iter 2</t>
  </si>
  <si>
    <t xml:space="preserve">iter 3</t>
  </si>
  <si>
    <t xml:space="preserve">iter 4</t>
  </si>
  <si>
    <t xml:space="preserve">iter 5</t>
  </si>
  <si>
    <t xml:space="preserve">iter 6</t>
  </si>
  <si>
    <t xml:space="preserve">final</t>
  </si>
  <si>
    <t xml:space="preserve">DM -10bp</t>
  </si>
  <si>
    <t xml:space="preserve">DM +10bp</t>
  </si>
  <si>
    <t xml:space="preserve">IPD unadj.</t>
  </si>
  <si>
    <t xml:space="preserve">IPD</t>
  </si>
  <si>
    <t xml:space="preserve">Live</t>
  </si>
  <si>
    <t xml:space="preserve">Last live</t>
  </si>
  <si>
    <t xml:space="preserve">τ (ACT/360)</t>
  </si>
  <si>
    <t xml:space="preserve">Index</t>
  </si>
  <si>
    <t xml:space="preserve">Pool beg.</t>
  </si>
  <si>
    <t xml:space="preserve">Defaults</t>
  </si>
  <si>
    <t xml:space="preserve">n remaining</t>
  </si>
  <si>
    <t xml:space="preserve">Scheduled</t>
  </si>
  <si>
    <t xml:space="preserve">Prepay</t>
  </si>
  <si>
    <t xml:space="preserve">Recoveries</t>
  </si>
  <si>
    <t xml:space="preserve">Interest coll.</t>
  </si>
  <si>
    <t xml:space="preserve">A beg.</t>
  </si>
  <si>
    <t xml:space="preserve">Sub beg.</t>
  </si>
  <si>
    <t xml:space="preserve">Fees</t>
  </si>
  <si>
    <t xml:space="preserve">Int. A</t>
  </si>
  <si>
    <t xml:space="preserve">Int. Sub</t>
  </si>
  <si>
    <t xml:space="preserve">Excess spread</t>
  </si>
  <si>
    <t xml:space="preserve">PDL open</t>
  </si>
  <si>
    <t xml:space="preserve">PDL cure</t>
  </si>
  <si>
    <t xml:space="preserve">PDL close</t>
  </si>
  <si>
    <t xml:space="preserve">Principal avail.</t>
  </si>
  <si>
    <t xml:space="preserve">Pro-rata test</t>
  </si>
  <si>
    <t xml:space="preserve">Call cond.</t>
  </si>
  <si>
    <t xml:space="preserve">Called</t>
  </si>
  <si>
    <t xml:space="preserve">Call IPD</t>
  </si>
  <si>
    <t xml:space="preserve">A share</t>
  </si>
  <si>
    <t xml:space="preserve">Prin. A</t>
  </si>
  <si>
    <t xml:space="preserve">Prin. Sub</t>
  </si>
  <si>
    <t xml:space="preserve">Pool end</t>
  </si>
  <si>
    <t xml:space="preserve">A end</t>
  </si>
  <si>
    <t xml:space="preserve">Sub end</t>
  </si>
  <si>
    <t xml:space="preserve">CF A</t>
  </si>
  <si>
    <t xml:space="preserve">t (yrs)</t>
  </si>
  <si>
    <t xml:space="preserve">A factor end</t>
  </si>
  <si>
    <t xml:space="preserve">τ' settle-adj.</t>
  </si>
  <si>
    <t xml:space="preserve">Prin. A due</t>
  </si>
  <si>
    <t xml:space="preserve">A shortfall c/f</t>
  </si>
  <si>
    <t xml:space="preserve">XIRR date</t>
  </si>
  <si>
    <t xml:space="preserve">XIRR cash</t>
  </si>
  <si>
    <t xml:space="preserve">Issuer-reported payment history — every row of out/&lt;ISIN&gt;_&lt;ticker&gt;.csv (schema = rmbs_harvester.SCHEMA, refreshed by `python -m rmbs.workbook`). Columns AX.. are checks and Bloomberg paste/delta columns.</t>
  </si>
  <si>
    <t xml:space="preserve">isin</t>
  </si>
  <si>
    <t xml:space="preserve">deal</t>
  </si>
  <si>
    <t xml:space="preserve">tranche</t>
  </si>
  <si>
    <t xml:space="preserve">report_month</t>
  </si>
  <si>
    <t xml:space="preserve">payment_date</t>
  </si>
  <si>
    <t xml:space="preserve">accrual_start</t>
  </si>
  <si>
    <t xml:space="preserve">accrual_end</t>
  </si>
  <si>
    <t xml:space="preserve">accrual_days</t>
  </si>
  <si>
    <t xml:space="preserve">day_basis</t>
  </si>
  <si>
    <t xml:space="preserve">index_rate</t>
  </si>
  <si>
    <t xml:space="preserve">margin_bp</t>
  </si>
  <si>
    <t xml:space="preserve">coupon_rate</t>
  </si>
  <si>
    <t xml:space="preserve">original_balance</t>
  </si>
  <si>
    <t xml:space="preserve">beg_balance</t>
  </si>
  <si>
    <t xml:space="preserve">principal_paid</t>
  </si>
  <si>
    <t xml:space="preserve">end_balance</t>
  </si>
  <si>
    <t xml:space="preserve">pool_factor</t>
  </si>
  <si>
    <t xml:space="preserve">interest_paid</t>
  </si>
  <si>
    <t xml:space="preserve">pdl_balance</t>
  </si>
  <si>
    <t xml:space="preserve">n_notes</t>
  </si>
  <si>
    <t xml:space="preserve">principal_per_note</t>
  </si>
  <si>
    <t xml:space="preserve">denom_beg</t>
  </si>
  <si>
    <t xml:space="preserve">denom_end</t>
  </si>
  <si>
    <t xml:space="preserve">coll_beg_balance</t>
  </si>
  <si>
    <t xml:space="preserve">coll_sched_principal</t>
  </si>
  <si>
    <t xml:space="preserve">coll_prepayments</t>
  </si>
  <si>
    <t xml:space="preserve">coll_repurchases</t>
  </si>
  <si>
    <t xml:space="preserve">coll_cpr_reported</t>
  </si>
  <si>
    <t xml:space="preserve">coll_deemed_losses</t>
  </si>
  <si>
    <t xml:space="preserve">coll_recoveries</t>
  </si>
  <si>
    <t xml:space="preserve">coll_end_balance</t>
  </si>
  <si>
    <t xml:space="preserve">coll_end_balance_net</t>
  </si>
  <si>
    <t xml:space="preserve">wac</t>
  </si>
  <si>
    <t xml:space="preserve">arrears_90_365</t>
  </si>
  <si>
    <t xml:space="preserve">cum_default_ratio</t>
  </si>
  <si>
    <t xml:space="preserve">prorata_test</t>
  </si>
  <si>
    <t xml:space="preserve">reserve_balance</t>
  </si>
  <si>
    <t xml:space="preserve">coll_principal_total</t>
  </si>
  <si>
    <t xml:space="preserve">coll_cpr_12m</t>
  </si>
  <si>
    <t xml:space="preserve">next_coupon_rate</t>
  </si>
  <si>
    <t xml:space="preserve">next_index_rate</t>
  </si>
  <si>
    <t xml:space="preserve">source_url</t>
  </si>
  <si>
    <t xml:space="preserve">source_section</t>
  </si>
  <si>
    <t xml:space="preserve">parse_status</t>
  </si>
  <si>
    <t xml:space="preserve">principal_due</t>
  </si>
  <si>
    <t xml:space="preserve">principal_shortfall</t>
  </si>
  <si>
    <t xml:space="preserve">sub_beg_balance</t>
  </si>
  <si>
    <t xml:space="preserve">sub_end_balance</t>
  </si>
  <si>
    <t xml:space="preserve">coll_beg_balance_net</t>
  </si>
  <si>
    <t xml:space="preserve">chk: beg−prin−end</t>
  </si>
  <si>
    <t xml:space="preserve">chk: factor</t>
  </si>
  <si>
    <t xml:space="preserve">chk: per-note×n − prin</t>
  </si>
  <si>
    <t xml:space="preserve">chk: coupon − (index+margin)</t>
  </si>
  <si>
    <t xml:space="preserve">chk: interest (rel.)</t>
  </si>
  <si>
    <t xml:space="preserve">realised CPR (prepay only)</t>
  </si>
  <si>
    <t xml:space="preserve">realised CPR (prepay+repurch.)</t>
  </si>
  <si>
    <t xml:space="preserve">A share of collateral principal</t>
  </si>
  <si>
    <t xml:space="preserve">BBG factor (paste)</t>
  </si>
  <si>
    <t xml:space="preserve">Δ factor (issuer − BBG)</t>
  </si>
  <si>
    <t xml:space="preserve">BBG principal (paste)</t>
  </si>
  <si>
    <t xml:space="preserve">Δ principal (issuer − BBG)</t>
  </si>
  <si>
    <t xml:space="preserve">chk: due − paid − shortfall</t>
  </si>
  <si>
    <t xml:space="preserve">Magellan Mortgages No. 3</t>
  </si>
  <si>
    <t xml:space="preserve">A</t>
  </si>
  <si>
    <t xml:space="preserve">2009-02</t>
  </si>
  <si>
    <t xml:space="preserve">Act/360</t>
  </si>
  <si>
    <t xml:space="preserve">PASS</t>
  </si>
  <si>
    <t xml:space="preserve">https://ind.millenniumbcp.pt/pt/Institucional/investidores/securitizacoes/Documents/Magellan3-InvestorReport/200902Magellan3_InvestorReport.pdf</t>
  </si>
  <si>
    <t xml:space="preserve">Sec.1/2/3/6</t>
  </si>
  <si>
    <t xml:space="preserve">ok: issuer report, 6 identities pass</t>
  </si>
  <si>
    <t xml:space="preserve">2013-08</t>
  </si>
  <si>
    <t xml:space="preserve">https://ind.millenniumbcp.pt/pt/Institucional/investidores/securitizacoes/Documents/Magellan3-InvestorReport/201308Magellan3_InvestorReport.pdf</t>
  </si>
  <si>
    <t xml:space="preserve">Sec.1 Denomination / New Denomination / Accrual Rate; Sec.2 beginning balance &amp; principal redemption</t>
  </si>
  <si>
    <t xml:space="preserve">ok: issuer report Sec.1 (balances = denomination x 141,375; interest computed)</t>
  </si>
  <si>
    <t xml:space="preserve">2017-08</t>
  </si>
  <si>
    <t xml:space="preserve">https://ind.millenniumbcp.pt/pt/Institucional/investidores/securitizacoes/Documents/Magellan3-InvestorReport/201708Magellan3_InvestorReport.pdf</t>
  </si>
  <si>
    <t xml:space="preserve">2018-08</t>
  </si>
  <si>
    <t xml:space="preserve">https://ind.millenniumbcp.pt/pt/Institucional/investidores/securitizacoes/Documents/Magellan3-InvestorReport/201808Magellan3_InvestorReport.pdf</t>
  </si>
  <si>
    <t xml:space="preserve">2018-11</t>
  </si>
  <si>
    <t xml:space="preserve">https://ind.millenniumbcp.pt/pt/Institucional/investidores/securitizacoes/Documents/Magellan3-InvestorReport/201811Magellan3_InvestorReport.pdf</t>
  </si>
  <si>
    <t xml:space="preserve">2019-02</t>
  </si>
  <si>
    <t xml:space="preserve">https://ind.millenniumbcp.pt/pt/Institucional/investidores/securitizacoes/Documents/Magellan3-InvestorReport/Investor_Report_2019_02.pdf</t>
  </si>
  <si>
    <t xml:space="preserve">2019-05</t>
  </si>
  <si>
    <t xml:space="preserve">https://ind.millenniumbcp.pt/pt/Institucional/investidores/securitizacoes/Documents/Magellan3-InvestorReport/Investor_Report_16052019.pdf</t>
  </si>
  <si>
    <t xml:space="preserve">2019-08</t>
  </si>
  <si>
    <t xml:space="preserve">https://ind.millenniumbcp.pt/pt/Institucional/investidores/securitizacoes/Documents/Magellan3-InvestorReport/Investor_Report_2019_08.pdf</t>
  </si>
  <si>
    <t xml:space="preserve">2020-11</t>
  </si>
  <si>
    <t xml:space="preserve">https://ind.millenniumbcp.pt/pt/Institucional/investidores/securitizacoes/Documents/Magellan3-InvestorReport/Investor_Report_2020_11_12112020.pdf</t>
  </si>
  <si>
    <t xml:space="preserve">2021-02</t>
  </si>
  <si>
    <t xml:space="preserve">https://ind.millenniumbcp.pt/pt/Institucional/investidores/securitizacoes/Documents/Magellan3-InvestorReport/Investor_Report_15022021.pdf</t>
  </si>
  <si>
    <t xml:space="preserve">2022-05</t>
  </si>
  <si>
    <t xml:space="preserve">https://ind.millenniumbcp.pt/pt/Institucional/investidores/securitizacoes/Documents/Magellan3-InvestorReport/InvestorReport_202205.pdf</t>
  </si>
  <si>
    <t xml:space="preserve">2023-05</t>
  </si>
  <si>
    <t xml:space="preserve">https://ind.millenniumbcp.pt/pt/Institucional/investidores/securitizacoes/Documents/Magellan3-InvestorReport/InvestorReport_2023-05.pdf</t>
  </si>
  <si>
    <t xml:space="preserve">2023-08</t>
  </si>
  <si>
    <t xml:space="preserve">derived: denomination chain between neighbouring reports</t>
  </si>
  <si>
    <t xml:space="preserve">denomination chain</t>
  </si>
  <si>
    <t xml:space="preserve">DERIVED (principal exact; coupon not available)</t>
  </si>
  <si>
    <t xml:space="preserve">2023-11</t>
  </si>
  <si>
    <t xml:space="preserve">https://ind.millenniumbcp.pt/pt/Institucional/investidores/securitizacoes/Documents/Magellan3-InvestorReport/Magellan3_InvestorReport_202311.pdf</t>
  </si>
  <si>
    <t xml:space="preserve">2024-02</t>
  </si>
  <si>
    <t xml:space="preserve">2024-05</t>
  </si>
  <si>
    <t xml:space="preserve">https://ind.millenniumbcp.pt/pt/Institucional/investidores/securitizacoes/Documents/Magellan3-InvestorReport/InvestorReport_202405.pdf</t>
  </si>
  <si>
    <t xml:space="preserve">2025-02</t>
  </si>
  <si>
    <t xml:space="preserve">https://ind.millenniumbcp.pt/pt/Institucional/investidores/securitizacoes/Documents/Magellan3-InvestorReport/InvestorReport_202502.pdf</t>
  </si>
  <si>
    <t xml:space="preserve">2025-05</t>
  </si>
  <si>
    <t xml:space="preserve">2025-08</t>
  </si>
  <si>
    <t xml:space="preserve">https://ind.millenniumbcp.pt/pt/Institucional/investidores/securitizacoes/Documents/Magellan3-InvestorReport/InvestorReport_202508.pdf</t>
  </si>
  <si>
    <t xml:space="preserve">2025-11</t>
  </si>
  <si>
    <t xml:space="preserve">https://ind.millenniumbcp.pt/pt/Institucional/investidores/securitizacoes/Documents/Magellan3-InvestorReport/Investor-Report-2025-11.pdf</t>
  </si>
  <si>
    <t xml:space="preserve">2026-02</t>
  </si>
  <si>
    <t xml:space="preserve">derived: Nov-2025 'New Denomination' 873.92 and May-2026 'Denomination' 838.37</t>
  </si>
  <si>
    <t xml:space="preserve">DERIVED (principal exact; interest/collateral not available)</t>
  </si>
  <si>
    <t xml:space="preserve">2026-05</t>
  </si>
  <si>
    <t xml:space="preserve">https://ind.millenniumbcp.pt/pt/Institucional/investidores/securitizacoes/Documents/Magellan3-InvestorReport/InvestorReport_202605.pdf</t>
  </si>
  <si>
    <t xml:space="preserve">2026-08</t>
  </si>
  <si>
    <t xml:space="preserve">https://ind.millenniumbcp.pt/pt/Institucional/investidores/securitizacoes/Documents/Magellan3-InvestorReport/Investor-Report-202608.pdf</t>
  </si>
  <si>
    <t xml:space="preserve">Magellan Mortgages No. 4</t>
  </si>
  <si>
    <t xml:space="preserve">2010-01</t>
  </si>
  <si>
    <t xml:space="preserve">https://ind.millenniumbcp.pt/pt/Institucional/investidores/securitizacoes/Documents/Magellan4-InvestorReport/201001Magellan4_InvestorReport.pdf</t>
  </si>
  <si>
    <t xml:space="preserve">2012-04</t>
  </si>
  <si>
    <t xml:space="preserve">https://ind.millenniumbcp.pt/pt/Institucional/investidores/securitizacoes/Documents/Magellan4-InvestorReport/201204Magellan4_InvestorReport.pdf</t>
  </si>
  <si>
    <t xml:space="preserve">2013-04</t>
  </si>
  <si>
    <t xml:space="preserve">https://ind.millenniumbcp.pt/pt/Institucional/investidores/securitizacoes/Documents/Magellan4-InvestorReport/201304Magellan4_InvestorReport.pdf</t>
  </si>
  <si>
    <t xml:space="preserve">2015-07</t>
  </si>
  <si>
    <t xml:space="preserve">https://ind.millenniumbcp.pt/pt/Institucional/investidores/securitizacoes/Documents/Magellan4-InvestorReport/201507Magellan4_InvestorReport.pdf</t>
  </si>
  <si>
    <t xml:space="preserve">2017-04</t>
  </si>
  <si>
    <t xml:space="preserve">https://ind.millenniumbcp.pt/pt/Institucional/investidores/securitizacoes/Documents/Magellan4-InvestorReport/201704Magellan4_InvestorReport.pdf</t>
  </si>
  <si>
    <t xml:space="preserve">ok: issuer report Sec.1 (balances = denomination x 141,375; </t>
  </si>
  <si>
    <t xml:space="preserve">2018-04</t>
  </si>
  <si>
    <t xml:space="preserve">https://ind.millenniumbcp.pt/pt/Institucional/investidores/securitizacoes/Documents/Magellan4-InvestorReport/201804Magellan4_InvestorReport.pdf</t>
  </si>
  <si>
    <t xml:space="preserve">2025-01</t>
  </si>
  <si>
    <t xml:space="preserve">https://ind.millenniumbcp.pt/pt/Institucional/investidores/securitizacoes/Documents/Magellan4-InvestorReport/202501_Magellan4_InvestorReport.pdf</t>
  </si>
  <si>
    <t xml:space="preserve">2026-01</t>
  </si>
  <si>
    <t xml:space="preserve">https://ind.millenniumbcp.pt/pt/Institucional/investidores/securitizacoes/Documents/Magellan4-InvestorReport/Magellan-Mortgages-No4-plc_16012026.pdf</t>
  </si>
  <si>
    <t xml:space="preserve">2026-04</t>
  </si>
  <si>
    <t xml:space="preserve">derived: Jan-2026 'New Denomination' 1,018.87 and Jul-2026 'Denomination' 985.56</t>
  </si>
  <si>
    <t xml:space="preserve">2026-07</t>
  </si>
  <si>
    <t xml:space="preserve">https://ind.millenniumbcp.pt/pt/Institucional/investidores/securitizacoes/Documents/Magellan4-InvestorReport/InvestorReport_202607.pdf</t>
  </si>
  <si>
    <t xml:space="preserve">2021-01</t>
  </si>
  <si>
    <t xml:space="preserve">https://internet.cnmv.es/AUDITA/2022/19794.pdf</t>
  </si>
  <si>
    <t xml:space="preserve">Cuentas Anuales - Liquidaciones intermedias (kEUR)</t>
  </si>
  <si>
    <t xml:space="preserve">ok: annual accounts (kEUR); chain balances from 'Saldo inicial'; ties to 31/12/21 255,424 and 31/12/22 210,062 kEUR; coupon floored 0% until Apr-2022</t>
  </si>
  <si>
    <t xml:space="preserve">2021-04</t>
  </si>
  <si>
    <t xml:space="preserve">2021-07</t>
  </si>
  <si>
    <t xml:space="preserve">2021-10</t>
  </si>
  <si>
    <t xml:space="preserve">2022-01</t>
  </si>
  <si>
    <t xml:space="preserve">2022-04</t>
  </si>
  <si>
    <t xml:space="preserve">2022-07</t>
  </si>
  <si>
    <t xml:space="preserve">2022-10</t>
  </si>
  <si>
    <t xml:space="preserve">2020-08</t>
  </si>
  <si>
    <t xml:space="preserve">https://www.cnmv.es/webservices/verdocumento/ver?t=%7B7507a87b-f1ec-46d7-8e5d-e690d38a9b8f%7D</t>
  </si>
  <si>
    <t xml:space="preserve">TdA 'INFORMACION A LOS INVERSORES - FECHA DE PAGO 26/11/2020', I. BONOS A, line 2 'Pendiente de vencimiento en la anterior Fecha de Pago'</t>
  </si>
  <si>
    <t xml:space="preserve">PARTIAL: text from CNMV notice as indexed; full PDF not retrievable from this environment (CNMV blocks automated fetch)</t>
  </si>
  <si>
    <t xml:space="preserve">I. BONOS &lt;series&gt; block</t>
  </si>
  <si>
    <t xml:space="preserve">PARTIAL: TdA notice, balance identity not closed (fields missing in text)</t>
  </si>
  <si>
    <t xml:space="preserve">F.T.A. UCI 15</t>
  </si>
  <si>
    <t xml:space="preserve">2007-06</t>
  </si>
  <si>
    <t xml:space="preserve">https://assets.santandermedia.com/adobe/assets/urn:aaid:aem:6cf79a51-1822-4af5-81b5-110fc7db6094/original/as/ES-U.C.I._15_June07-Archive_Quarterly_Reports-UCI_15-EN.pdf</t>
  </si>
  <si>
    <t xml:space="preserve">Bonds PRINCIPAL: previous balance 1,225,843,630.30 / amortised 61,282,713.74 / outstanding 1,164,560,916.56 (all classes)</t>
  </si>
  <si>
    <t xml:space="preserve">PARTIAL: total-bond figures; Class A = total - B,C,D at par (B 32.9m, C 56.5m, D 21.6m; subordinates untouched in 2007)</t>
  </si>
  <si>
    <t xml:space="preserve">2012-06</t>
  </si>
  <si>
    <t xml:space="preserve">FAIL (B,C not amortised)</t>
  </si>
  <si>
    <t xml:space="preserve">https://assets.santandermedia.com/adobe/assets/urn:aaid:aem:5654f363-cc34-4260-92cc-88cb02900ab9/original/as/ES-U.C.I._15_Junio12-Informaci%C3%B3n_Peri%C3%B3dica-UCI_15.pdf</t>
  </si>
  <si>
    <t xml:space="preserve">p.2 II. VALORES EMITIDOS; p.3 BONOS PRINCIPAL; p.4 DERECHOS</t>
  </si>
  <si>
    <t xml:space="preserve">ok: issuer report; beg balance cross-checked vs trigger page (Serie A saldo)</t>
  </si>
  <si>
    <t xml:space="preserve">2026-06</t>
  </si>
  <si>
    <t xml:space="preserve">https://assets.santandermedia.com/adobe/assets/urn:aaid:aem:51f2945f-4fa2-4b4e-9757-af0f49e01ebf/original/as/ES-U.C.I._15_Junio26-Informacion_Periodica-UCI_15.pdf</t>
  </si>
  <si>
    <t xml:space="preserve">A2</t>
  </si>
  <si>
    <t xml:space="preserve">2015-01</t>
  </si>
  <si>
    <t xml:space="preserve">https://edt-sg.com/intranet/fondos/FGH11/MFGH11C01161231.pdf</t>
  </si>
  <si>
    <t xml:space="preserve">Cuentas Anuales 2016, Nota 8 'movimiento de los Bonos', Serie A2 (kEUR; dates as printed)</t>
  </si>
  <si>
    <t xml:space="preserve">ok: annual accounts, kEUR rounding; ties to balance sheet 31/12/15 &amp; 31/12/16 and to trigger annex 06/10/16</t>
  </si>
  <si>
    <t xml:space="preserve">2015-04</t>
  </si>
  <si>
    <t xml:space="preserve">2015-10</t>
  </si>
  <si>
    <t xml:space="preserve">2016-01</t>
  </si>
  <si>
    <t xml:space="preserve">2016-04</t>
  </si>
  <si>
    <t xml:space="preserve">2016-07</t>
  </si>
  <si>
    <t xml:space="preserve">2016-10</t>
  </si>
  <si>
    <t xml:space="preserve">2018-01</t>
  </si>
  <si>
    <t xml:space="preserve">https://internet.cnmv.es/AUDITA/2019/18634.pdf</t>
  </si>
  <si>
    <t xml:space="preserve">Cuentas Anuales 2019 (CNMV AUDITA), Nota 8 movimiento de los Bonos + Nota 17 pagos por fecha (kEUR)</t>
  </si>
  <si>
    <t xml:space="preserve">ok: annual accounts kEUR; ties to 31/12/18 (230,507) and 31/12/19 (217,021)</t>
  </si>
  <si>
    <t xml:space="preserve">2018-07</t>
  </si>
  <si>
    <t xml:space="preserve">2018-10</t>
  </si>
  <si>
    <t xml:space="preserve">2019-01</t>
  </si>
  <si>
    <t xml:space="preserve">Cuentas Anuales 2019 (CNMV AUDITA), Nota 8 movimiento de los Bonos + Nota 17 pagos por fecha (kEUR); principal due/paid/insuficiencia: Nota 17 per-date table (kEUR)</t>
  </si>
  <si>
    <t xml:space="preserve">ok: annual accounts kEUR; ties to 31/12/18 (230,507) and 31/12/19 (217,021); PRINCIPAL SHORTFALL: due 57491 kEUR vs paid 2910 kEUR</t>
  </si>
  <si>
    <t xml:space="preserve">2019-04</t>
  </si>
  <si>
    <t xml:space="preserve">ok: annual accounts kEUR; ties to 31/12/18 (230,507) and 31/12/19 (217,021); PRINCIPAL SHORTFALL: due 61380 kEUR vs paid 2414 kEUR</t>
  </si>
  <si>
    <t xml:space="preserve">2019-07</t>
  </si>
  <si>
    <t xml:space="preserve">ok: annual accounts kEUR; ties to 31/12/18 (230,507) and 31/12/19 (217,021); PRINCIPAL SHORTFALL: due 67072 kEUR vs paid 6208 kEUR</t>
  </si>
  <si>
    <t xml:space="preserve">2019-10</t>
  </si>
  <si>
    <t xml:space="preserve">ok: annual accounts kEUR; ties to 31/12/18 (230,507) and 31/12/19 (217,021); PRINCIPAL SHORTFALL: due 67545 kEUR vs paid 1954 kEUR</t>
  </si>
  <si>
    <t xml:space="preserve">ticker</t>
  </si>
  <si>
    <t xml:space="preserve">doc_type</t>
  </si>
  <si>
    <t xml:space="preserve">period</t>
  </si>
  <si>
    <t xml:space="preserve">url</t>
  </si>
  <si>
    <t xml:space="preserve">status</t>
  </si>
  <si>
    <t xml:space="preserve">where_principal_is</t>
  </si>
  <si>
    <t xml:space="preserve">Index page</t>
  </si>
  <si>
    <t xml:space="preserve">-</t>
  </si>
  <si>
    <t xml:space="preserve">https://ind.millenniumbcp.pt/en/Institucional/investidores/securitizacoes/Pages/Magellan-Mortgages-No3-plc.aspx</t>
  </si>
  <si>
    <t xml:space="preserve">index (JS-rendered)</t>
  </si>
  <si>
    <t xml:space="preserve">lists all quarterly reports</t>
  </si>
  <si>
    <t xml:space="preserve">Quarterly investor report</t>
  </si>
  <si>
    <t xml:space="preserve">2006-02</t>
  </si>
  <si>
    <t xml:space="preserve">https://ind.millenniumbcp.pt/pt/Institucional/investidores/securitizacoes/Documents/Magellan3-InvestorReport/200602Magellan3_InvestorReport.pdf</t>
  </si>
  <si>
    <t xml:space="preserve">located</t>
  </si>
  <si>
    <t xml:space="preserve">Sec.1 'Security Level Information': Total Beginning/Ending Balance, Total Principal Distribution, Pool Factor, Denomination; Sec.6 'Principal Distribution' per note</t>
  </si>
  <si>
    <t xml:space="preserve">2006-08</t>
  </si>
  <si>
    <t xml:space="preserve">https://ind.millenniumbcp.pt/pt/Institucional/investidores/securitizacoes/Documents/Magellan3-InvestorReport/200608Magellan3_InvestorReport.pdf</t>
  </si>
  <si>
    <t xml:space="preserve">READ+PARSED</t>
  </si>
  <si>
    <t xml:space="preserve">Fund page (full index)</t>
  </si>
  <si>
    <t xml:space="preserve">https://www.santanderdetitulizacion.com/san/Home/Fondos-de-Titulizacion/uci-15</t>
  </si>
  <si>
    <t xml:space="preserve">READ</t>
  </si>
  <si>
    <t xml:space="preserve">lists every report below; NIF V-84698067</t>
  </si>
  <si>
    <t xml:space="preserve">Información Periódica (quarterly)</t>
  </si>
  <si>
    <t xml:space="preserve">p.2 'II. VALORES EMITIDOS' (Nominal actual, amortización por bono); p.3 'BONOS ... PRINCIPAL' (Saldo anterior, Amortizaciones); p.12+ monthly pool/CPR history</t>
  </si>
  <si>
    <t xml:space="preserve">2026-03</t>
  </si>
  <si>
    <t xml:space="preserve">https://assets.santandermedia.com/adobe/assets/urn:aaid:aem:db09205f-7614-43cd-94e1-ffbc32292a9b/original/as/ES-U.C.I._15_Marzo26-Informacion_Periodica-UCI_15.pdf</t>
  </si>
  <si>
    <t xml:space="preserve">listed (verified link)</t>
  </si>
  <si>
    <t xml:space="preserve">2025-12</t>
  </si>
  <si>
    <t xml:space="preserve">https://assets.santandermedia.com/adobe/assets/urn:aaid:aem:101d538f-6d99-4f55-9ca2-b58d0df1e9ab/original/as/ES-U.C.I._15_Diciembre25-Información_Periódica-UCI_15.pdf</t>
  </si>
  <si>
    <t xml:space="preserve">2025-09</t>
  </si>
  <si>
    <t xml:space="preserve">https://assets.santandermedia.com/adobe/assets/urn:aaid:aem:a1a2e09f-e0c6-4095-9897-f56cbabd2c40/original/as/ES-U.C.I._15_Septiembre25-Información_Periódica-UCI_15.pdf</t>
  </si>
  <si>
    <t xml:space="preserve">2025-06</t>
  </si>
  <si>
    <t xml:space="preserve">https://assets.santandermedia.com/adobe/assets/urn:aaid:aem:ab38b16f-43ba-4e93-8131-2d12980a28a0/original/as/ES-U.C.I._15_Junio25-Información_Periódica-UCI_15.pdf</t>
  </si>
  <si>
    <t xml:space="preserve">2025-03</t>
  </si>
  <si>
    <t xml:space="preserve">https://assets.santandermedia.com/adobe/assets/urn:aaid:aem:4369f18c-e902-498b-bd60-23c5f7b98c2f/original/as/ES-U.C.I._15_Marzo25-Información_Periódica-UCI_15.pdf</t>
  </si>
  <si>
    <t xml:space="preserve">2024-12</t>
  </si>
  <si>
    <t xml:space="preserve">https://assets.santandermedia.com/adobe/assets/urn:aaid:aem:8a46b67b-662f-4d5c-bc53-dd73fe221ecb/original/as/ES-U.C.I._15_Diciembre24-Información_Periódica-UCI_15.pdf</t>
  </si>
  <si>
    <t xml:space="preserve">2024-09</t>
  </si>
  <si>
    <t xml:space="preserve">https://assets.santandermedia.com/adobe/assets/urn:aaid:aem:ee58dea3-0da6-4808-ac96-6a3fb5d7c5f6/original/as/ES-U.C.I._15_Septiembre24-Información_Periódica-UCI_15.pdf</t>
  </si>
  <si>
    <t xml:space="preserve">2024-06</t>
  </si>
  <si>
    <t xml:space="preserve">https://assets.santandermedia.com/adobe/assets/urn:aaid:aem:17e68a3b-ccae-4673-89d1-f0ae3b3e4774/original/as/ES-U.C.I._15_Junio24-Información_Periódica-UCI_15.pdf</t>
  </si>
  <si>
    <t xml:space="preserve">2024-03</t>
  </si>
  <si>
    <t xml:space="preserve">https://assets.santandermedia.com/adobe/assets/urn:aaid:aem:cd7922f8-473a-4276-a0cc-6549a29fef33/original/as/ES-U.C.I._15_Marzo24-Información_Periódica-UCI_15.pdf</t>
  </si>
  <si>
    <t xml:space="preserve">2023-12</t>
  </si>
  <si>
    <t xml:space="preserve">https://assets.santandermedia.com/adobe/assets/urn:aaid:aem:466f1b36-7f59-4c13-92ba-b96841e62ec6/original/as/ES-U.C.I._15_Diciembre23-Información_Periódica-UCI_15.pdf</t>
  </si>
  <si>
    <t xml:space="preserve">2023-09</t>
  </si>
  <si>
    <t xml:space="preserve">https://assets.santandermedia.com/adobe/assets/urn:aaid:aem:165ed1c7-4d9c-4ad7-8462-d60ab31e13a0/original/as/ES-U.C.I._15_Septiembre23-Información_Periódica-UCI_15.pdf</t>
  </si>
  <si>
    <t xml:space="preserve">2023-06</t>
  </si>
  <si>
    <t xml:space="preserve">https://assets.santandermedia.com/adobe/assets/urn:aaid:aem:8ae9092a-e926-47f3-ab4f-56b846672254/original/as/ES-U.C.I._15_Junio23-Información_Periódica-UCI_15.pdf</t>
  </si>
  <si>
    <t xml:space="preserve">2023-03</t>
  </si>
  <si>
    <t xml:space="preserve">https://assets.santandermedia.com/adobe/assets/urn:aaid:aem:8c062883-cdc9-4522-8a55-1cbe7566281d/original/as/ES-U.C.I._15_Marzo23-Información_Periódica-UCI_15.pdf</t>
  </si>
  <si>
    <t xml:space="preserve">2022-12</t>
  </si>
  <si>
    <t xml:space="preserve">https://assets.santandermedia.com/adobe/assets/urn:aaid:aem:1397f1f1-e887-46b7-bcf6-8030a5f3a077/original/as/ES-U.C.I._15_Diciembre22-Información_Periódica-UCI_15.pdf</t>
  </si>
  <si>
    <t xml:space="preserve">2022-09</t>
  </si>
  <si>
    <t xml:space="preserve">https://assets.santandermedia.com/adobe/assets/urn:aaid:aem:3efe0e62-3d15-4afd-b1e1-5162beb23e67/original/as/ES-U.C.I._15_Septiembre22-Información_Periódica-UCI_15.pdf</t>
  </si>
  <si>
    <t xml:space="preserve">2022-06</t>
  </si>
  <si>
    <t xml:space="preserve">https://assets.santandermedia.com/adobe/assets/urn:aaid:aem:d7c5a4bd-b696-4622-ac55-76dbbe2e3ea7/original/as/ES-U.C.I._15_Junio22-Información_Periódica-UCI_15.pdf</t>
  </si>
  <si>
    <t xml:space="preserve">2022-03</t>
  </si>
  <si>
    <t xml:space="preserve">https://assets.santandermedia.com/adobe/assets/urn:aaid:aem:083eedc2-d520-455c-bcfb-905cf2ed6319/original/as/ES-U.C.I._15_Marzo22-Información_Periódica-UCI_15.pdf</t>
  </si>
  <si>
    <t xml:space="preserve">2021-12</t>
  </si>
  <si>
    <t xml:space="preserve">https://assets.santandermedia.com/adobe/assets/urn:aaid:aem:455011b3-d1d2-47b7-aaaa-2b73789c3ec2/original/as/ES-U.C.I._15_Diciembre21-Información_Periódica-UCI_15.pdf</t>
  </si>
  <si>
    <t xml:space="preserve">2021-09</t>
  </si>
  <si>
    <t xml:space="preserve">https://assets.santandermedia.com/adobe/assets/urn:aaid:aem:8095135c-ac2b-4f87-bd20-a3e8d58062e1/original/as/ES-U.C.I._15_Septiembre21-Información_Periódica-UCI_15.pdf</t>
  </si>
  <si>
    <t xml:space="preserve">2021-06</t>
  </si>
  <si>
    <t xml:space="preserve">https://assets.santandermedia.com/adobe/assets/urn:aaid:aem:41b3b492-2c59-4c90-b48a-43c97e62746a/original/as/ES-U.C.I._15_Junio21-Información_Periódica-UCI_15.pdf</t>
  </si>
  <si>
    <t xml:space="preserve">2021-03</t>
  </si>
  <si>
    <t xml:space="preserve">https://assets.santandermedia.com/adobe/assets/urn:aaid:aem:98fb3d12-3d53-4eb0-8039-bc31e611c343/original/as/ES-U.C.I._15_Marzo21-Información_Periódica-UCI_15.pdf</t>
  </si>
  <si>
    <t xml:space="preserve">2020-12</t>
  </si>
  <si>
    <t xml:space="preserve">https://assets.santandermedia.com/adobe/assets/urn:aaid:aem:e6f2a37c-a5d8-4161-b07e-cb77ddabcbb9/original/as/ES-U.C.I._15_Diciembre20-Información_Periódica-UCI_15.pdf</t>
  </si>
  <si>
    <t xml:space="preserve">2020-09</t>
  </si>
  <si>
    <t xml:space="preserve">https://assets.santandermedia.com/adobe/assets/urn:aaid:aem:861a34e0-1418-454f-af86-dda647af9aff/original/as/ES-U.C.I._15_Septiembre20-Información_Periódica-UCI_15.pdf</t>
  </si>
  <si>
    <t xml:space="preserve">2020-06</t>
  </si>
  <si>
    <t xml:space="preserve">https://assets.santandermedia.com/adobe/assets/urn:aaid:aem:72bc9531-6fb5-4bb8-b7ad-97ab7915461a/original/as/ES-U.C.I._15_Junio20-Información_Periódica-UCI_15.pdf</t>
  </si>
  <si>
    <t xml:space="preserve">2020-03</t>
  </si>
  <si>
    <t xml:space="preserve">https://assets.santandermedia.com/adobe/assets/urn:aaid:aem:a13325f3-88b7-40cb-b04f-d7f6bda11cf6/original/as/ES-U.C.I._15_Marzo20-Información_Periódica-UCI_15.pdf</t>
  </si>
  <si>
    <t xml:space="preserve">2019-12</t>
  </si>
  <si>
    <t xml:space="preserve">https://assets.santandermedia.com/adobe/assets/urn:aaid:aem:70356faa-26b2-4aee-81dd-a3e883d2f192/original/as/ES-U.C.I._15_Diciembre19-Información_Periódica-UCI_15.pdf</t>
  </si>
  <si>
    <t xml:space="preserve">2019-09</t>
  </si>
  <si>
    <t xml:space="preserve">https://assets.santandermedia.com/adobe/assets/urn:aaid:aem:4e32543f-19d1-4ac9-ac3b-7e83507ab9b5/original/as/ES-U.C.I._15_Septiembre19-Información_Periódica-UCI_15.pdf</t>
  </si>
  <si>
    <t xml:space="preserve">2019-06</t>
  </si>
  <si>
    <t xml:space="preserve">https://assets.santandermedia.com/adobe/assets/urn:aaid:aem:a84e9de7-328e-466d-8d3b-df7a41bd9d32/original/as/ES-U.C.I._15_Junio19-Información_Periódica-UCI_15.pdf</t>
  </si>
  <si>
    <t xml:space="preserve">2019-03</t>
  </si>
  <si>
    <t xml:space="preserve">https://assets.santandermedia.com/adobe/assets/urn:aaid:aem:e4bff05a-6477-47bf-a6ca-0037ed27013b/original/as/ES-U.C.I._15_Marzo19-Información_Periódica-UCI_15.pdf</t>
  </si>
  <si>
    <t xml:space="preserve">2018-12</t>
  </si>
  <si>
    <t xml:space="preserve">https://assets.santandermedia.com/adobe/assets/urn:aaid:aem:c1cc4692-a324-4cd3-80d5-fa3e85af8e31/original/as/ES-U.C.I._15_Diciembre18-Información_Periódica-UCI_15.pdf</t>
  </si>
  <si>
    <t xml:space="preserve">2018-09</t>
  </si>
  <si>
    <t xml:space="preserve">https://assets.santandermedia.com/adobe/assets/urn:aaid:aem:397189e4-bf95-4d86-9a9c-5077055ea26d/original/as/ES-U.C.I._15_Septiembre18-Información_Periódica-UCI_15.pdf</t>
  </si>
  <si>
    <t xml:space="preserve">2018-06</t>
  </si>
  <si>
    <t xml:space="preserve">https://assets.santandermedia.com/adobe/assets/urn:aaid:aem:a84bff82-bc53-4e65-a3a4-26136ca1a9c4/original/as/ES-U.C.I._15_Junio18-Información_Periódica-UCI_15.pdf</t>
  </si>
  <si>
    <t xml:space="preserve">2018-03</t>
  </si>
  <si>
    <t xml:space="preserve">https://assets.santandermedia.com/adobe/assets/urn:aaid:aem:55e815f8-49ce-4e6e-a09a-2f5335916c9a/original/as/ES-U.C.I._15_Marzo18-Información_Periódica-UCI_15.pdf</t>
  </si>
  <si>
    <t xml:space="preserve">2017-12</t>
  </si>
  <si>
    <t xml:space="preserve">https://assets.santandermedia.com/adobe/assets/urn:aaid:aem:972a488e-d89b-4df9-8592-681e66221b0a/original/as/ES-U.C.I._15_Diciembre17-Información_Periódica-UCI_15.pdf</t>
  </si>
  <si>
    <t xml:space="preserve">2017-09</t>
  </si>
  <si>
    <t xml:space="preserve">https://assets.santandermedia.com/adobe/assets/urn:aaid:aem:8b505d50-35ad-4528-a395-942168a6bcca/original/as/ES-U.C.I._15_Septiembre17-Información_Periódica-UCI_15.pdf</t>
  </si>
  <si>
    <t xml:space="preserve">2017-06</t>
  </si>
  <si>
    <t xml:space="preserve">https://assets.santandermedia.com/adobe/assets/urn:aaid:aem:4e29d097-3412-46d3-8753-eb895253e035/original/as/ES-U.C.I._15_Junio17-Información_Periódica-UCI_15.pdf</t>
  </si>
  <si>
    <t xml:space="preserve">2017-03</t>
  </si>
  <si>
    <t xml:space="preserve">https://assets.santandermedia.com/adobe/assets/urn:aaid:aem:cf8b7536-f3c1-480a-a819-9bf2ea387a41/original/as/ES-U.C.I._15_Marzo17-Información_Periódica-UCI_15.pdf</t>
  </si>
  <si>
    <t xml:space="preserve">2016-12</t>
  </si>
  <si>
    <t xml:space="preserve">https://assets.santandermedia.com/adobe/assets/urn:aaid:aem:c6f6c055-1db1-4f5a-9db3-f88864c92ab9/original/as/ES-U.C.I._15_Diciembre16-Información_Periódica-UCI_15.pdf</t>
  </si>
  <si>
    <t xml:space="preserve">2016-09</t>
  </si>
  <si>
    <t xml:space="preserve">https://assets.santandermedia.com/adobe/assets/urn:aaid:aem:b8aa8625-a699-4afd-9d60-570370ab058f/original/as/ES-U.C.I._15_Septiembre16-Información_Periódica-UCI_15.pdf</t>
  </si>
  <si>
    <t xml:space="preserve">2016-06</t>
  </si>
  <si>
    <t xml:space="preserve">https://assets.santandermedia.com/adobe/assets/urn:aaid:aem:e39550cf-05da-43a4-9776-3d27f8fdc843/original/as/ES-U.C.I._15_Junio16-Información_Periódica-UCI_15.pdf</t>
  </si>
  <si>
    <t xml:space="preserve">2016-03</t>
  </si>
  <si>
    <t xml:space="preserve">https://assets.santandermedia.com/adobe/assets/urn:aaid:aem:46964b19-c968-47b7-ba75-376a31d0b1f2/original/as/ES-U.C.I._15_Marzo16-Información_Periódica-UCI_15.pdf</t>
  </si>
  <si>
    <t xml:space="preserve">2015-12</t>
  </si>
  <si>
    <t xml:space="preserve">https://assets.santandermedia.com/adobe/assets/urn:aaid:aem:2b9ed32d-5180-4494-83c2-93b70659ed00/original/as/ES-U.C.I._15_Diciembre15-Información_Periódica-UCI_15.pdf</t>
  </si>
  <si>
    <t xml:space="preserve">2015-09</t>
  </si>
  <si>
    <t xml:space="preserve">https://assets.santandermedia.com/adobe/assets/urn:aaid:aem:eda4e5f0-0a10-4227-b8e1-032754d6fa5e/original/as/ES-U.C.I._15_Septiembre15-Información_Periódica-UCI_15.pdf</t>
  </si>
  <si>
    <t xml:space="preserve">2015-06</t>
  </si>
  <si>
    <t xml:space="preserve">https://assets.santandermedia.com/adobe/assets/urn:aaid:aem:290bff26-d7ac-4bb1-a21b-a1b56e52dd64/original/as/ES-U.C.I._15_Junio15-Información_Periódica-UCI_15.pdf</t>
  </si>
  <si>
    <t xml:space="preserve">2015-03</t>
  </si>
  <si>
    <t xml:space="preserve">https://assets.santandermedia.com/adobe/assets/urn:aaid:aem:c6acd698-619c-4a2b-994a-1a6363cc5f2c/original/as/ES-U.C.I._15_Marzo15-Información_Periódica-UCI_15.pdf</t>
  </si>
  <si>
    <t xml:space="preserve">2014-12</t>
  </si>
  <si>
    <t xml:space="preserve">https://assets.santandermedia.com/adobe/assets/urn:aaid:aem:7126af42-01bf-457d-bed0-a4dce437178b/original/as/ES-U.C.I._15_Diciembre14-Información_Periódica-UCI_15.pdf</t>
  </si>
  <si>
    <t xml:space="preserve">2014-09</t>
  </si>
  <si>
    <t xml:space="preserve">https://assets.santandermedia.com/adobe/assets/urn:aaid:aem:968320d5-4d1b-4a16-b525-79487c78a4b8/original/as/ES-U.C.I._15_Septiembre14-Información_Periódica-UCI_15.pdf</t>
  </si>
  <si>
    <t xml:space="preserve">2014-06</t>
  </si>
  <si>
    <t xml:space="preserve">https://assets.santandermedia.com/adobe/assets/urn:aaid:aem:dae65c78-4f7d-472a-8d68-d2a90e03861c/original/as/ES-U.C.I._15_Junio14-Información_Periódica-UCI_15.pdf</t>
  </si>
  <si>
    <t xml:space="preserve">2014-03</t>
  </si>
  <si>
    <t xml:space="preserve">https://assets.santandermedia.com/adobe/assets/urn:aaid:aem:bd2dd06c-ec43-4d2d-a440-dd658ea120c5/original/as/ES-U.C.I._15_Marzo14-Información_Periódica-UCI_15.pdf</t>
  </si>
  <si>
    <t xml:space="preserve">2013-12</t>
  </si>
  <si>
    <t xml:space="preserve">https://assets.santandermedia.com/adobe/assets/urn:aaid:aem:549c8fe8-5865-4f43-89bf-2708295b4080/original/as/ES-U.C.I._15_Diciembre13-Información_Periódica-UCI_15.pdf</t>
  </si>
  <si>
    <t xml:space="preserve">2013-09</t>
  </si>
  <si>
    <t xml:space="preserve">https://assets.santandermedia.com/adobe/assets/urn:aaid:aem:e1ee8433-412f-47d4-8e20-8a3a06cbc08a/original/as/ES-U.C.I._15_Septiembre13-Información_Periódica-UCI_15.pdf</t>
  </si>
  <si>
    <t xml:space="preserve">2013-06</t>
  </si>
  <si>
    <t xml:space="preserve">https://assets.santandermedia.com/adobe/assets/urn:aaid:aem:f44b6ffd-8b24-4e56-b3fe-4bf2edd7b8ce/original/as/ES-U.C.I._15_Junio13-Información_Periódica-UCI_15.pdf</t>
  </si>
  <si>
    <t xml:space="preserve">2013-03</t>
  </si>
  <si>
    <t xml:space="preserve">https://assets.santandermedia.com/adobe/assets/urn:aaid:aem:b6ebdc9e-082c-486a-bb97-10219435c5fc/original/as/ES-U.C.I._15_Marzo13-Información_Periódica-UCI_15.pdf</t>
  </si>
  <si>
    <t xml:space="preserve">2012-12</t>
  </si>
  <si>
    <t xml:space="preserve">https://assets.santandermedia.com/adobe/assets/urn:aaid:aem:45ceceaa-9d51-42b5-ba1d-e3bb22ef2e34/original/as/ES-U.C.I._15_Diciembre12-Información_Periódica-UCI_15.pdf</t>
  </si>
  <si>
    <t xml:space="preserve">2012-09</t>
  </si>
  <si>
    <t xml:space="preserve">https://assets.santandermedia.com/adobe/assets/urn:aaid:aem:5863d6f2-296b-4f35-b7d9-714ad1d1ca17/original/as/ES-U.C.I._15_Septiembre12-Información_Periódica-UCI_15.pdf</t>
  </si>
  <si>
    <t xml:space="preserve">https://assets.santandermedia.com/adobe/assets/urn:aaid:aem:5654f363-cc34-4260-92cc-88cb02900ab9/original/as/ES-U.C.I._15_Junio12-Información_Periódica-UCI_15.pdf</t>
  </si>
  <si>
    <t xml:space="preserve">2012-03</t>
  </si>
  <si>
    <t xml:space="preserve">https://assets.santandermedia.com/adobe/assets/urn:aaid:aem:4429a602-b573-4b41-b741-1331ff96985e/original/as/ES-U.C.I._15_Marzo12-Información_Periódica-UCI_15.pdf</t>
  </si>
  <si>
    <t xml:space="preserve">2011-12</t>
  </si>
  <si>
    <t xml:space="preserve">https://assets.santandermedia.com/adobe/assets/urn:aaid:aem:5a3151f0-f531-43f7-ab2f-84a302f25fbc/original/as/ES-U.C.I._15_Diciembre11-Información_Periódica-UCI_15.pdf</t>
  </si>
  <si>
    <t xml:space="preserve">2011-09</t>
  </si>
  <si>
    <t xml:space="preserve">https://assets.santandermedia.com/adobe/assets/urn:aaid:aem:ebf9ec30-f9d3-49f2-a4f4-3b039e4e978a/original/as/ES-U.C.I._15_Septiembre11-Información_Periódica-UCI_15.pdf</t>
  </si>
  <si>
    <t xml:space="preserve">2011-06</t>
  </si>
  <si>
    <t xml:space="preserve">https://assets.santandermedia.com/adobe/assets/urn:aaid:aem:4ea714da-be50-4aa4-b86c-5c0ea2563ca6/original/as/ES-U.C.I._15_Junio11-Información_Periódica-UCI_15.pdf</t>
  </si>
  <si>
    <t xml:space="preserve">2011-03</t>
  </si>
  <si>
    <t xml:space="preserve">https://assets.santandermedia.com/adobe/assets/urn:aaid:aem:53900d9b-7259-41b8-835f-1476f7eedbae/original/as/ES-U.C.I._15_Marzo11-Información_Periódica-UCI_15.pdf</t>
  </si>
  <si>
    <t xml:space="preserve">2010-12</t>
  </si>
  <si>
    <t xml:space="preserve">https://assets.santandermedia.com/adobe/assets/urn:aaid:aem:fada92ab-812f-4baa-8c8b-5ae5b02272db/original/as/ES-U.C.I._15_Diciembre10-Información_Periódica-UCI_15.pdf</t>
  </si>
  <si>
    <t xml:space="preserve">2010-09</t>
  </si>
  <si>
    <t xml:space="preserve">https://assets.santandermedia.com/adobe/assets/urn:aaid:aem:e2e1c11e-0039-4731-a68b-6969b0169c6b/original/as/ES-U.C.I._15_Septiembre10-Información_Periódica-UCI_15.pdf</t>
  </si>
  <si>
    <t xml:space="preserve">2010-06</t>
  </si>
  <si>
    <t xml:space="preserve">https://assets.santandermedia.com/adobe/assets/urn:aaid:aem:dfa8128f-7266-4016-ac17-467be08ce6ff/original/as/ES-U.C.I._15_Junio10-Información_Periódica-UCI_15.pdf</t>
  </si>
  <si>
    <t xml:space="preserve">2010-03</t>
  </si>
  <si>
    <t xml:space="preserve">https://assets.santandermedia.com/adobe/assets/urn:aaid:aem:b2b7bd47-47ca-44f5-942e-bebac69ea336/original/as/ES-U.C.I._15_Marzo10-Información_Periódica-UCI_15.pdf</t>
  </si>
  <si>
    <t xml:space="preserve">2009-12</t>
  </si>
  <si>
    <t xml:space="preserve">https://assets.santandermedia.com/adobe/assets/urn:aaid:aem:9c83a015-a4e9-4490-81d8-4dd49112b21f/original/as/ES-U.C.I._15_Diciembre09-Información_Periódica-UCI_15.pdf</t>
  </si>
  <si>
    <t xml:space="preserve">2009-09</t>
  </si>
  <si>
    <t xml:space="preserve">https://assets.santandermedia.com/adobe/assets/urn:aaid:aem:6541db90-b41d-4091-be21-7efbc4964fbb/original/as/ES-U.C.I._15_Septiembre09-Información_Periódica-UCI_15.pdf</t>
  </si>
  <si>
    <t xml:space="preserve">2009-06</t>
  </si>
  <si>
    <t xml:space="preserve">https://assets.santandermedia.com/adobe/assets/urn:aaid:aem:7a958862-b19e-4e59-8d1a-1254d605a458/original/as/ES-U.C.I._15_Junio09-Información_Periódica-UCI_15.pdf</t>
  </si>
  <si>
    <t xml:space="preserve">2009-03</t>
  </si>
  <si>
    <t xml:space="preserve">https://assets.santandermedia.com/adobe/assets/urn:aaid:aem:0e0ede6a-015d-4587-a899-a23955eac633/original/as/ES-U.C.I._15_Marzo09-Información_Periódica-UCI_15.pdf</t>
  </si>
  <si>
    <t xml:space="preserve">2008-12</t>
  </si>
  <si>
    <t xml:space="preserve">https://assets.santandermedia.com/adobe/assets/urn:aaid:aem:9c4a3c61-1c3d-4c6d-a61a-6788f2b975d4/original/as/ES-U.C.I._15_Diciembre08-Información_Periódica-UCI_15.pdf</t>
  </si>
  <si>
    <t xml:space="preserve">2008-09</t>
  </si>
  <si>
    <t xml:space="preserve">https://assets.santandermedia.com/adobe/assets/urn:aaid:aem:cd3fdf94-1c3d-48e8-8c5b-28b8e61804c6/original/as/ES-U.C.I._15_Septiembre08-Información_Periódica-UCI_15.pdf</t>
  </si>
  <si>
    <t xml:space="preserve">2008-06</t>
  </si>
  <si>
    <t xml:space="preserve">https://assets.santandermedia.com/adobe/assets/urn:aaid:aem:d6fe24eb-8f26-4ec6-a513-af121136b2ab/original/as/ES-U.C.I._15_Junio08-Información_Periódica-UCI_15.pdf</t>
  </si>
  <si>
    <t xml:space="preserve">2008-03</t>
  </si>
  <si>
    <t xml:space="preserve">https://assets.santandermedia.com/adobe/assets/urn:aaid:aem:6603ec33-9f67-4122-8607-967b92db6ed2/original/as/ES-U.C.I._15_Marzo08-Información_Periódica-UCI_15.pdf</t>
  </si>
  <si>
    <t xml:space="preserve">2007-12</t>
  </si>
  <si>
    <t xml:space="preserve">https://assets.santandermedia.com/adobe/assets/urn:aaid:aem:7a3baf59-3c56-4307-9a7b-68707f07c04e/original/as/ES-U.C.I._15_Diciembre07-Información_Periódica-UCI_15.pdf</t>
  </si>
  <si>
    <t xml:space="preserve">2007-09</t>
  </si>
  <si>
    <t xml:space="preserve">https://assets.santandermedia.com/adobe/assets/urn:aaid:aem:202e663e-13cc-4182-801d-a164c409f69f/original/as/ES-U.C.I._15_Septiembre07-Información_Periódica-UCI_15.pdf</t>
  </si>
  <si>
    <t xml:space="preserve">https://assets.santandermedia.com/adobe/assets/urn:aaid:aem:0fda86b4-facb-4c2a-82a2-cf36c3d69937/original/as/ES-U.C.I._15_Junio07-Información_Periódica-UCI_15.pdf</t>
  </si>
  <si>
    <t xml:space="preserve">2007-03</t>
  </si>
  <si>
    <t xml:space="preserve">https://assets.santandermedia.com/adobe/assets/urn:aaid:aem:530bb73a-5f78-44d7-a997-6f52590b41c5/original/as/ES-U.C.I._15_Marzo07-Información_Periódica-UCI_15.pdf</t>
  </si>
  <si>
    <t xml:space="preserve">Cuentas Anuales</t>
  </si>
  <si>
    <t xml:space="preserve">2025</t>
  </si>
  <si>
    <t xml:space="preserve">https://assets.santandermedia.com/adobe/assets/urn:aaid:aem:27b52084-d9d4-4d28-a461-6226604f0afe/original/as/ES-UCI_15_Cuentas_Anuales_2025_FTA-Informe_Anual-UCI_15.pdf</t>
  </si>
  <si>
    <t xml:space="preserve">Nota 'Obligaciones y otros valores negociables': amortisation per payment date, 2 years per report</t>
  </si>
  <si>
    <t xml:space="preserve">2024</t>
  </si>
  <si>
    <t xml:space="preserve">https://assets.santandermedia.com/adobe/assets/urn:aaid:aem:c8d5cd2e-ee41-4825-92c9-9a0d7fbdf20e/original/as/ES-UCI_15_Cuentas_Anuales_2024_FTA-Informe_Anual-UCI_15.pdf</t>
  </si>
  <si>
    <t xml:space="preserve">2023</t>
  </si>
  <si>
    <t xml:space="preserve">https://assets.santandermedia.com/adobe/assets/urn:aaid:aem:1214f830-9e02-4eaa-aa99-ccaba3e58818/original/as/ES-UCI_15_Cuentas_Anuales_2023_FTA-Informe_Anual-UCI_15.pdf</t>
  </si>
  <si>
    <t xml:space="preserve">2022</t>
  </si>
  <si>
    <t xml:space="preserve">https://assets.santandermedia.com/adobe/assets/urn:aaid:aem:2aed7431-d241-451b-989f-2bdabe8c3950/original/as/ES-UCI_15_Cuentas_Anuales_2022_FTA-Informe_Anual-UCI_15.pdf</t>
  </si>
  <si>
    <t xml:space="preserve">2021</t>
  </si>
  <si>
    <t xml:space="preserve">https://assets.santandermedia.com/adobe/assets/urn:aaid:aem:f39f62c0-8137-4e90-8997-417163c719ff/original/as/ES-UCI_15_Cuentas_anuales_2021_FTA-Informe_Anual-UCI_15.pdf</t>
  </si>
  <si>
    <t xml:space="preserve">F.T.A. UCI 16</t>
  </si>
  <si>
    <t xml:space="preserve">Fund page</t>
  </si>
  <si>
    <t xml:space="preserve">https://www.santanderdetitulizacion.com/san/Home/Fondos-de-Titulizacion/uci-16</t>
  </si>
  <si>
    <t xml:space="preserve">slug inferred from UCI 15 page</t>
  </si>
  <si>
    <t xml:space="preserve">same layout as UCI 15</t>
  </si>
  <si>
    <t xml:space="preserve">Cuentas Anuales 2016</t>
  </si>
  <si>
    <t xml:space="preserve">2016</t>
  </si>
  <si>
    <t xml:space="preserve">Nota 8 'movimiento de los Bonos' per IPD 2015-2016 (kEUR); trigger annex p.60</t>
  </si>
  <si>
    <t xml:space="preserve">Otra información relevante</t>
  </si>
  <si>
    <t xml:space="preserve">https://edt-sg.com/intranet/fondos/FGH11/MFGH11D01240327.pdf</t>
  </si>
  <si>
    <t xml:space="preserve">rating action only</t>
  </si>
  <si>
    <t xml:space="preserve">Folder (EdT)</t>
  </si>
  <si>
    <t xml:space="preserve">https://edt-sg.com/intranet/fondos/FGH11/</t>
  </si>
  <si>
    <t xml:space="preserve">naming: EFGH11N01YYMMDD monthly; MFGH11K01YYMMDD CNMV quarterly; MFGH11C01YYMMDD annual</t>
  </si>
  <si>
    <t xml:space="preserve">CNMV NIF V64478373</t>
  </si>
  <si>
    <t xml:space="preserve">https://edt-sg.com/intranet/fondos/FGH09/</t>
  </si>
  <si>
    <t xml:space="preserve">folder verified via search index</t>
  </si>
  <si>
    <t xml:space="preserve">same naming as FGH11</t>
  </si>
  <si>
    <t xml:space="preserve">CNMV 'Otra información relevante' (NIF V84466135)</t>
  </si>
  <si>
    <t xml:space="preserve">2020-02..</t>
  </si>
  <si>
    <t xml:space="preserve">https://www.cnmv.es/portal/otra-informacion-relevante/resultado-oir?lang=en&amp;nif=V84466135</t>
  </si>
  <si>
    <t xml:space="preserve">READ (13 pages of notices)</t>
  </si>
  <si>
    <t xml:space="preserve">'INFORMACION FECHA DE PAGO DEL FONDO' = per-IPD bond payment notice</t>
  </si>
  <si>
    <t xml:space="preserve">Payment-date notice</t>
  </si>
  <si>
    <t xml:space="preserve">2026-07-31</t>
  </si>
  <si>
    <t xml:space="preserve">https://www.cnmv.es/webservices/verdocumento/ver?t=%7b4db24a17-9f7a-46fd-aa96-042e5c689d67%7d</t>
  </si>
  <si>
    <t xml:space="preserve">listed; CNMV blocks automated fetch</t>
  </si>
  <si>
    <t xml:space="preserve">I. BONOS A: saldo inicial, pendiente anterior, amortización, intereses</t>
  </si>
  <si>
    <t xml:space="preserve">2026-05-04</t>
  </si>
  <si>
    <t xml:space="preserve">https://www.cnmv.es/webservices/verdocumento/ver?t=%7b576fba4c-2761-4518-aaa8-1b6af42b1b14%7d</t>
  </si>
  <si>
    <t xml:space="preserve">CNMV 'Otra información relevante' (NIF V84851724)</t>
  </si>
  <si>
    <t xml:space="preserve">https://www.cnmv.es/portal/otra-informacion-relevante/resultado-oir?nif=V84851724&amp;lang=en</t>
  </si>
  <si>
    <t xml:space="preserve">listed</t>
  </si>
  <si>
    <t xml:space="preserve">same as TDA CAM 5</t>
  </si>
  <si>
    <t xml:space="preserve">2020-11-26</t>
  </si>
  <si>
    <t xml:space="preserve">text indexed; fetch blocked</t>
  </si>
  <si>
    <t xml:space="preserve">I. BONOS A ES0377966009, lines 1-2</t>
  </si>
  <si>
    <t xml:space="preserve">CNMV OIR by NIF</t>
  </si>
  <si>
    <t xml:space="preserve">https://www.cnmv.es/portal/Consultas/FTA/Listado_ROFT.aspx</t>
  </si>
  <si>
    <t xml:space="preserve">NIF to resolve from CNMV register; gestora TdA (tda-sgft.com, robots-blocked)</t>
  </si>
  <si>
    <t xml:space="preserve">'INFORMACION FECHA DE PAGO' notices</t>
  </si>
  <si>
    <t xml:space="preserve">TDAC 7 (class TBC)</t>
  </si>
  <si>
    <t xml:space="preserve">Investor report</t>
  </si>
  <si>
    <t xml:space="preserve">Citibank N.A. Agency &amp; Trust investor reporting (registration) / Euronext Direct RIS / European DataWarehouse</t>
  </si>
  <si>
    <t xml:space="preserve">not publicly indexed</t>
  </si>
  <si>
    <t xml:space="preserve">Class A principal amount outstanding &amp; redemption per IPD</t>
  </si>
  <si>
    <t xml:space="preserve">Archive quarterly report (EN)</t>
  </si>
  <si>
    <t xml:space="preserve">text indexed</t>
  </si>
  <si>
    <t xml:space="preserve">BONDS. PRINCIPAL</t>
  </si>
  <si>
    <t xml:space="preserve">https://www.santanderdetitulizacion.com/san/Home/Fondos-de-Titulizacion/uci+16/uci+16</t>
  </si>
  <si>
    <t xml:space="preserve">indexed (NIF V84856236); IPD 16-Sep-2026 announced on BME</t>
  </si>
  <si>
    <t xml:space="preserve">READ (Sec.1/2) + PARSED</t>
  </si>
  <si>
    <t xml:space="preserve">Sec.1 'Security Level Information': Denomination / New Denomination / Accrual Rate; Sec.6 per-note principal</t>
  </si>
  <si>
    <t xml:space="preserve">2022-02</t>
  </si>
  <si>
    <t xml:space="preserve">https://ind.millenniumbcp.pt/pt/Institucional/investidores/securitizacoes/Documents/Magellan3-InvestorReport/InvestorReport_202202.pdf</t>
  </si>
  <si>
    <t xml:space="preserve">2009-07</t>
  </si>
  <si>
    <t xml:space="preserve">https://ind.millenniumbcp.pt/pt/Institucional/investidores/securitizacoes/Documents/Magellan4-InvestorReport/200907Magellan4_InvestorReport.pdf</t>
  </si>
  <si>
    <t xml:space="preserve">https://ind.millenniumbcp.pt/pt/Institucional/investidores/securitizacoes/Documents/Magellan4-InvestorReport/Investor_Report_2019_01.pdf</t>
  </si>
  <si>
    <t xml:space="preserve">Annual financial statements FY2024 (xhtml)</t>
  </si>
  <si>
    <t xml:space="preserve">https://ind.millenniumbcp.pt/pt/Institucional/investidores/securitizacoes/Documents/Magellan3-FinantialStatement/Magellan-N3_Finantial-Statement_21102025.xhtml</t>
  </si>
  <si>
    <t xml:space="preserve">Notes: redemptions of notes during the year</t>
  </si>
  <si>
    <t xml:space="preserve">Cuentas Anuales (CNMV AUDITA archive - fetchable, not blocked)</t>
  </si>
  <si>
    <t xml:space="preserve">2019</t>
  </si>
  <si>
    <t xml:space="preserve">READ+PARSED (2018-2019 IPDs)</t>
  </si>
  <si>
    <t xml:space="preserve">Nota 'Obligaciones y otros valores negociables': amortisation per payment date per series (kEUR), 2 years per file; Nota 'Liquidaciones intermedias': due vs paid principal per IPD</t>
  </si>
  <si>
    <t xml:space="preserve">2017</t>
  </si>
  <si>
    <t xml:space="preserve">https://internet.cnmv.es/AUDITA/2017/17633.pdf</t>
  </si>
  <si>
    <t xml:space="preserve">https://internet.cnmv.es/AUDITA/2016/16943.pdf</t>
  </si>
  <si>
    <t xml:space="preserve">https://internet.cnmv.es/AUDITA/2017/17482.pdf</t>
  </si>
  <si>
    <t xml:space="preserve">2020</t>
  </si>
  <si>
    <t xml:space="preserve">https://internet.cnmv.es/AUDITA/2020/19036.pdf</t>
  </si>
  <si>
    <t xml:space="preserve">https://internet.cnmv.es/AUDITA/2021/19445.pdf</t>
  </si>
  <si>
    <t xml:space="preserve">Cuentas Anuales (CNMV AUDITA - fetchable)</t>
  </si>
  <si>
    <t xml:space="preserve">https://www.cnmv.es/AUDITA/2016/16939.pdf</t>
  </si>
  <si>
    <t xml:space="preserve">Nota 'Liquidaciones intermedias' / 'movimiento de los bonos': principal &amp; interest paid per payment date per series (kEUR), 2 years per file</t>
  </si>
  <si>
    <t xml:space="preserve">https://internet.cnmv.es/AUDITA/2017/17468.pdf</t>
  </si>
  <si>
    <t xml:space="preserve">https://internet.cnmv.es/AUDITA/2021/19474.pdf</t>
  </si>
  <si>
    <t xml:space="preserve">READ+PARSED (2021-2022 IPDs)</t>
  </si>
  <si>
    <t xml:space="preserve">https://internet.cnmv.es/AUDITA/2021/19444.pdf</t>
  </si>
  <si>
    <t xml:space="preserve">TDAC 7 classTBC</t>
  </si>
  <si>
    <t xml:space="preserve">https://www.cnmv.es/AUDITA/2022/19746.pdf</t>
  </si>
  <si>
    <t xml:space="preserve">https://internet.cnmv.es/AUDITA/2021/19447.pdf</t>
  </si>
  <si>
    <t xml:space="preserve">https://internet.cnmv.es/AUDITA/2022/19745.pdf</t>
  </si>
  <si>
    <t xml:space="preserve">https://www.cnmv.es/AUDITA/2024/20567.pdf</t>
  </si>
  <si>
    <t xml:space="preserve">2012</t>
  </si>
  <si>
    <t xml:space="preserve">https://internet.cnmv.es/AUDITA/2012/14705.pdf</t>
  </si>
  <si>
    <t xml:space="preserve">2014</t>
  </si>
  <si>
    <t xml:space="preserve">https://internet.cnmv.es/AUDITA/2014/15857.pdf</t>
  </si>
  <si>
    <t xml:space="preserve">2015</t>
  </si>
  <si>
    <t xml:space="preserve">https://www.cnmv.es/AUDITA/2015/16518.pdf</t>
  </si>
  <si>
    <t xml:space="preserve">https://internet.cnmv.es/AUDITA/2019/18489.pdf</t>
  </si>
  <si>
    <t xml:space="preserve">https://internet.cnmv.es/AUDITA/2020/18903.pdf</t>
  </si>
  <si>
    <t xml:space="preserve">https://internet.cnmv.es/AUDITA/2021/19409.pdf</t>
  </si>
  <si>
    <t xml:space="preserve">https://internet.cnmv.es/AUDITA/2022/19949.pdf</t>
  </si>
  <si>
    <t xml:space="preserve">Lusitano Mortgages</t>
  </si>
  <si>
    <t xml:space="preserve">SEC EDGAR - Espirito Santo Financial Group filings</t>
  </si>
  <si>
    <t xml:space="preserve">2006-2013</t>
  </si>
  <si>
    <t xml:space="preserve">https://www.sec.gov/Archives/edgar/data/0000906522/000102123106000288/b828608ex99-2.htm</t>
  </si>
  <si>
    <t xml:space="preserve">located (annual outstanding by class only)</t>
  </si>
  <si>
    <t xml:space="preserve">ESFG Form 6-K/20-F securitisation table: issued &amp; outstanding per class at year-end (SEC EDGAR CIK 906522)</t>
  </si>
  <si>
    <t xml:space="preserve">https://www.cnmv.es/AUDITA/2016/16949.pdf</t>
  </si>
  <si>
    <t xml:space="preserve">Nota 'Liquidaciones intermedias' (kEUR per IPD per series)</t>
  </si>
  <si>
    <t xml:space="preserve">https://www.cnmv.es/AUDITA/2017/17478.pdf</t>
  </si>
  <si>
    <t xml:space="preserve">https://www.cnmv.es/AUDITA/2020/19038.pdf</t>
  </si>
  <si>
    <t xml:space="preserve">Cuentas Anuales (CNMV AUDITA)</t>
  </si>
  <si>
    <t xml:space="preserve">https://www.cnmv.es/AUDITA/2014/15739.pdf</t>
  </si>
  <si>
    <t xml:space="preserve">discovered (web search, high; unvalidated - host blocked by egress policy)</t>
  </si>
  <si>
    <t xml:space="preserve">EdT: Nota 'movimiento de los Bonos' + per-date Devengado/Liquidado/Insuficiencia table</t>
  </si>
  <si>
    <t xml:space="preserve">https://www.cnmv.es/AUDITA/2024/20705.pdf</t>
  </si>
  <si>
    <t xml:space="preserve">https://cnmv.es/AUDITA/2022/19844.pdf</t>
  </si>
  <si>
    <t xml:space="preserve">2010</t>
  </si>
  <si>
    <t xml:space="preserve">https://www.cnmv.es/AUDITA/2010/12846.pdf</t>
  </si>
  <si>
    <t xml:space="preserve">Santander accounts: bonos movement note (kEUR)</t>
  </si>
  <si>
    <t xml:space="preserve">https://www.cnmv.es/AUDITA/2017/17774.pdf</t>
  </si>
  <si>
    <t xml:space="preserve">https://www.cnmv.es/AUDITA/2010/12852.pdf</t>
  </si>
  <si>
    <t xml:space="preserve">https://www.cnmv.es/AUDITA/2023/20397.pdf</t>
  </si>
  <si>
    <t xml:space="preserve">Cuentas Anuales (EdT)</t>
  </si>
  <si>
    <t xml:space="preserve">2013</t>
  </si>
  <si>
    <t xml:space="preserve">https://edt-sg.com/intranet/fondos/FGH11/MFGH11C01131231.pdf</t>
  </si>
  <si>
    <t xml:space="preserve">discovered (web search, medium; unvalidated - host blocked by egress policy)</t>
  </si>
  <si>
    <t xml:space="preserve">UCI 15 - monthly collateral balance and single-month CPR since closing (issuer table, Jun-2026 report)</t>
  </si>
  <si>
    <t xml:space="preserve">Month end</t>
  </si>
  <si>
    <t xml:space="preserve">Pool outstanding (EUR)</t>
  </si>
  <si>
    <t xml:space="preserve">Monthly CPR (annualised)</t>
  </si>
  <si>
    <t xml:space="preserve">12m trailing mean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</si>
</sst>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d\-mmm\-yyyy"/>
    <numFmt numFmtId="166" formatCode="0.0000"/>
    <numFmt numFmtId="167" formatCode="0.00"/>
    <numFmt numFmtId="168" formatCode="#,##0.00;\(#,##0.00\);\-"/>
    <numFmt numFmtId="169" formatCode="0.00%"/>
    <numFmt numFmtId="170" formatCode="0.000%"/>
    <numFmt numFmtId="171" formatCode="0.0%"/>
    <numFmt numFmtId="172" formatCode="0"/>
    <numFmt numFmtId="173" formatCode="0.000%;\(0.000%\);\-"/>
    <numFmt numFmtId="174" formatCode="General"/>
    <numFmt numFmtId="175" formatCode="0.0000%"/>
    <numFmt numFmtId="176" formatCode="#,##0;\(#,##0\);\-"/>
    <numFmt numFmtId="177" formatCode="#,##0"/>
    <numFmt numFmtId="178" formatCode="yyyy\-mm\-dd"/>
    <numFmt numFmtId="179" formatCode="0.000000"/>
    <numFmt numFmtId="180" formatCode="0.000"/>
    <numFmt numFmtId="181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rgb="FF1F4E9E"/>
      <name val="Cambria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1F4E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Class A balance (€) — projected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Engine!AG9</c:f>
              <c:strCache>
                <c:ptCount val="1"/>
                <c:pt idx="0">
                  <c:v>A end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Engine!$C$11:$C$190</c:f>
              <c:strCache>
                <c:ptCount val="180"/>
                <c:pt idx="0">
                  <c:v>16-Nov-2026</c:v>
                </c:pt>
                <c:pt idx="1">
                  <c:v>15-Feb-2027</c:v>
                </c:pt>
                <c:pt idx="2">
                  <c:v>17-May-2027</c:v>
                </c:pt>
                <c:pt idx="3">
                  <c:v>16-Aug-2027</c:v>
                </c:pt>
                <c:pt idx="4">
                  <c:v>15-Nov-2027</c:v>
                </c:pt>
                <c:pt idx="5">
                  <c:v>15-Feb-2028</c:v>
                </c:pt>
                <c:pt idx="6">
                  <c:v>15-May-2028</c:v>
                </c:pt>
                <c:pt idx="7">
                  <c:v>15-Aug-2028</c:v>
                </c:pt>
                <c:pt idx="8">
                  <c:v>15-Nov-2028</c:v>
                </c:pt>
                <c:pt idx="9">
                  <c:v>15-Feb-2029</c:v>
                </c:pt>
                <c:pt idx="10">
                  <c:v>15-May-2029</c:v>
                </c:pt>
                <c:pt idx="11">
                  <c:v>15-Aug-2029</c:v>
                </c:pt>
                <c:pt idx="12">
                  <c:v>15-Nov-2029</c:v>
                </c:pt>
                <c:pt idx="13">
                  <c:v>15-Feb-2030</c:v>
                </c:pt>
                <c:pt idx="14">
                  <c:v>15-May-2030</c:v>
                </c:pt>
                <c:pt idx="15">
                  <c:v>15-Aug-2030</c:v>
                </c:pt>
                <c:pt idx="16">
                  <c:v>15-Nov-2030</c:v>
                </c:pt>
                <c:pt idx="17">
                  <c:v>17-Feb-2031</c:v>
                </c:pt>
                <c:pt idx="18">
                  <c:v>15-May-2031</c:v>
                </c:pt>
                <c:pt idx="19">
                  <c:v>15-Aug-2031</c:v>
                </c:pt>
                <c:pt idx="20">
                  <c:v>17-Nov-2031</c:v>
                </c:pt>
                <c:pt idx="21">
                  <c:v>16-Feb-2032</c:v>
                </c:pt>
                <c:pt idx="22">
                  <c:v>17-May-2032</c:v>
                </c:pt>
                <c:pt idx="23">
                  <c:v>16-Aug-2032</c:v>
                </c:pt>
                <c:pt idx="24">
                  <c:v>15-Nov-2032</c:v>
                </c:pt>
                <c:pt idx="25">
                  <c:v>15-Feb-2033</c:v>
                </c:pt>
                <c:pt idx="26">
                  <c:v>16-May-2033</c:v>
                </c:pt>
                <c:pt idx="27">
                  <c:v>15-Aug-2033</c:v>
                </c:pt>
                <c:pt idx="28">
                  <c:v>15-Nov-2033</c:v>
                </c:pt>
                <c:pt idx="29">
                  <c:v>15-Feb-2034</c:v>
                </c:pt>
                <c:pt idx="30">
                  <c:v>15-May-2034</c:v>
                </c:pt>
                <c:pt idx="31">
                  <c:v>15-Aug-2034</c:v>
                </c:pt>
                <c:pt idx="32">
                  <c:v>15-Nov-2034</c:v>
                </c:pt>
                <c:pt idx="33">
                  <c:v>15-Feb-2035</c:v>
                </c:pt>
                <c:pt idx="34">
                  <c:v>15-May-2035</c:v>
                </c:pt>
                <c:pt idx="35">
                  <c:v>15-Aug-2035</c:v>
                </c:pt>
                <c:pt idx="36">
                  <c:v>15-Nov-2035</c:v>
                </c:pt>
                <c:pt idx="37">
                  <c:v>15-Feb-2036</c:v>
                </c:pt>
                <c:pt idx="38">
                  <c:v>15-May-2036</c:v>
                </c:pt>
                <c:pt idx="39">
                  <c:v>15-Aug-2036</c:v>
                </c:pt>
                <c:pt idx="40">
                  <c:v>17-Nov-2036</c:v>
                </c:pt>
                <c:pt idx="41">
                  <c:v>16-Feb-2037</c:v>
                </c:pt>
                <c:pt idx="42">
                  <c:v>15-May-2037</c:v>
                </c:pt>
                <c:pt idx="43">
                  <c:v>17-Aug-2037</c:v>
                </c:pt>
                <c:pt idx="44">
                  <c:v>16-Nov-2037</c:v>
                </c:pt>
                <c:pt idx="45">
                  <c:v>15-Feb-2038</c:v>
                </c:pt>
                <c:pt idx="46">
                  <c:v>17-May-2038</c:v>
                </c:pt>
                <c:pt idx="47">
                  <c:v>16-Aug-2038</c:v>
                </c:pt>
                <c:pt idx="48">
                  <c:v>15-Nov-2038</c:v>
                </c:pt>
                <c:pt idx="49">
                  <c:v>15-Feb-2039</c:v>
                </c:pt>
                <c:pt idx="50">
                  <c:v>16-May-2039</c:v>
                </c:pt>
                <c:pt idx="51">
                  <c:v>15-Aug-2039</c:v>
                </c:pt>
                <c:pt idx="52">
                  <c:v>15-Nov-2039</c:v>
                </c:pt>
                <c:pt idx="53">
                  <c:v>15-Feb-2040</c:v>
                </c:pt>
                <c:pt idx="54">
                  <c:v>15-May-2040</c:v>
                </c:pt>
                <c:pt idx="55">
                  <c:v>15-Aug-2040</c:v>
                </c:pt>
                <c:pt idx="56">
                  <c:v>15-Nov-2040</c:v>
                </c:pt>
                <c:pt idx="57">
                  <c:v>15-Feb-2041</c:v>
                </c:pt>
                <c:pt idx="58">
                  <c:v>15-May-2041</c:v>
                </c:pt>
                <c:pt idx="59">
                  <c:v>15-Aug-2041</c:v>
                </c:pt>
                <c:pt idx="60">
                  <c:v>15-Nov-2041</c:v>
                </c:pt>
                <c:pt idx="61">
                  <c:v>17-Feb-2042</c:v>
                </c:pt>
                <c:pt idx="62">
                  <c:v>15-May-2042</c:v>
                </c:pt>
                <c:pt idx="63">
                  <c:v>15-Aug-2042</c:v>
                </c:pt>
                <c:pt idx="64">
                  <c:v>17-Nov-2042</c:v>
                </c:pt>
                <c:pt idx="65">
                  <c:v>16-Feb-2043</c:v>
                </c:pt>
                <c:pt idx="66">
                  <c:v>15-May-2043</c:v>
                </c:pt>
                <c:pt idx="67">
                  <c:v>17-Aug-2043</c:v>
                </c:pt>
                <c:pt idx="68">
                  <c:v>16-Nov-2043</c:v>
                </c:pt>
                <c:pt idx="69">
                  <c:v>15-Feb-2044</c:v>
                </c:pt>
                <c:pt idx="70">
                  <c:v>16-May-2044</c:v>
                </c:pt>
                <c:pt idx="71">
                  <c:v>15-Aug-2044</c:v>
                </c:pt>
                <c:pt idx="72">
                  <c:v>15-Nov-2044</c:v>
                </c:pt>
                <c:pt idx="73">
                  <c:v>15-Feb-2045</c:v>
                </c:pt>
                <c:pt idx="74">
                  <c:v>15-May-2045</c:v>
                </c:pt>
                <c:pt idx="75">
                  <c:v>15-Aug-2045</c:v>
                </c:pt>
                <c:pt idx="76">
                  <c:v>15-Nov-2045</c:v>
                </c:pt>
                <c:pt idx="77">
                  <c:v>15-Feb-2046</c:v>
                </c:pt>
                <c:pt idx="78">
                  <c:v>15-May-2046</c:v>
                </c:pt>
                <c:pt idx="79">
                  <c:v>15-Aug-2046</c:v>
                </c:pt>
                <c:pt idx="80">
                  <c:v>15-Nov-2046</c:v>
                </c:pt>
                <c:pt idx="81">
                  <c:v>15-Feb-2047</c:v>
                </c:pt>
                <c:pt idx="82">
                  <c:v>15-May-2047</c:v>
                </c:pt>
                <c:pt idx="83">
                  <c:v>15-Aug-2047</c:v>
                </c:pt>
                <c:pt idx="84">
                  <c:v>15-Nov-2047</c:v>
                </c:pt>
                <c:pt idx="85">
                  <c:v>17-Feb-2048</c:v>
                </c:pt>
                <c:pt idx="86">
                  <c:v>15-May-2048</c:v>
                </c:pt>
                <c:pt idx="87">
                  <c:v>17-Aug-2048</c:v>
                </c:pt>
                <c:pt idx="88">
                  <c:v>16-Nov-2048</c:v>
                </c:pt>
                <c:pt idx="89">
                  <c:v>15-Feb-2049</c:v>
                </c:pt>
                <c:pt idx="90">
                  <c:v>17-May-2049</c:v>
                </c:pt>
                <c:pt idx="91">
                  <c:v>16-Aug-2049</c:v>
                </c:pt>
                <c:pt idx="92">
                  <c:v>15-Nov-2049</c:v>
                </c:pt>
                <c:pt idx="93">
                  <c:v>15-Feb-2050</c:v>
                </c:pt>
                <c:pt idx="94">
                  <c:v>16-May-2050</c:v>
                </c:pt>
                <c:pt idx="95">
                  <c:v>15-Aug-2050</c:v>
                </c:pt>
                <c:pt idx="96">
                  <c:v>15-Nov-2050</c:v>
                </c:pt>
                <c:pt idx="97">
                  <c:v>15-Feb-2051</c:v>
                </c:pt>
                <c:pt idx="98">
                  <c:v>15-May-2051</c:v>
                </c:pt>
                <c:pt idx="99">
                  <c:v>15-Aug-2051</c:v>
                </c:pt>
                <c:pt idx="100">
                  <c:v>15-Nov-2051</c:v>
                </c:pt>
                <c:pt idx="101">
                  <c:v>15-Feb-2052</c:v>
                </c:pt>
                <c:pt idx="102">
                  <c:v>15-May-2052</c:v>
                </c:pt>
                <c:pt idx="103">
                  <c:v>15-Aug-2052</c:v>
                </c:pt>
                <c:pt idx="104">
                  <c:v>15-Nov-2052</c:v>
                </c:pt>
                <c:pt idx="105">
                  <c:v>17-Feb-2053</c:v>
                </c:pt>
                <c:pt idx="106">
                  <c:v>15-May-2053</c:v>
                </c:pt>
                <c:pt idx="107">
                  <c:v>15-Aug-2053</c:v>
                </c:pt>
                <c:pt idx="108">
                  <c:v>17-Nov-2053</c:v>
                </c:pt>
                <c:pt idx="109">
                  <c:v>16-Feb-2054</c:v>
                </c:pt>
                <c:pt idx="110">
                  <c:v>15-May-2054</c:v>
                </c:pt>
                <c:pt idx="111">
                  <c:v>17-Aug-2054</c:v>
                </c:pt>
                <c:pt idx="112">
                  <c:v>16-Nov-2054</c:v>
                </c:pt>
                <c:pt idx="113">
                  <c:v>15-Feb-2055</c:v>
                </c:pt>
                <c:pt idx="114">
                  <c:v>17-May-2055</c:v>
                </c:pt>
                <c:pt idx="115">
                  <c:v>16-Aug-2055</c:v>
                </c:pt>
                <c:pt idx="116">
                  <c:v>15-Nov-2055</c:v>
                </c:pt>
                <c:pt idx="117">
                  <c:v>15-Feb-2056</c:v>
                </c:pt>
                <c:pt idx="118">
                  <c:v>15-May-2056</c:v>
                </c:pt>
                <c:pt idx="119">
                  <c:v>15-Aug-2056</c:v>
                </c:pt>
                <c:pt idx="120">
                  <c:v>15-Nov-2056</c:v>
                </c:pt>
                <c:pt idx="121">
                  <c:v>15-Feb-2057</c:v>
                </c:pt>
                <c:pt idx="122">
                  <c:v>15-May-2057</c:v>
                </c:pt>
                <c:pt idx="123">
                  <c:v>15-Aug-2057</c:v>
                </c:pt>
                <c:pt idx="124">
                  <c:v>15-Nov-2057</c:v>
                </c:pt>
                <c:pt idx="125">
                  <c:v>15-Feb-2058</c:v>
                </c:pt>
                <c:pt idx="126">
                  <c:v>15-May-2058</c:v>
                </c:pt>
                <c:pt idx="127">
                  <c:v>15-Aug-2058</c:v>
                </c:pt>
                <c:pt idx="128">
                  <c:v>15-Nov-2058</c:v>
                </c:pt>
                <c:pt idx="129">
                  <c:v>17-Feb-2059</c:v>
                </c:pt>
                <c:pt idx="130">
                  <c:v>15-May-2059</c:v>
                </c:pt>
                <c:pt idx="131">
                  <c:v>15-Aug-2059</c:v>
                </c:pt>
                <c:pt idx="132">
                  <c:v>17-Nov-2059</c:v>
                </c:pt>
                <c:pt idx="133">
                  <c:v>16-Feb-2060</c:v>
                </c:pt>
                <c:pt idx="134">
                  <c:v>17-May-2060</c:v>
                </c:pt>
                <c:pt idx="135">
                  <c:v>16-Aug-2060</c:v>
                </c:pt>
                <c:pt idx="136">
                  <c:v>15-Nov-2060</c:v>
                </c:pt>
                <c:pt idx="137">
                  <c:v>15-Feb-2061</c:v>
                </c:pt>
                <c:pt idx="138">
                  <c:v>16-May-2061</c:v>
                </c:pt>
                <c:pt idx="139">
                  <c:v>15-Aug-2061</c:v>
                </c:pt>
                <c:pt idx="140">
                  <c:v>15-Nov-2061</c:v>
                </c:pt>
                <c:pt idx="141">
                  <c:v>15-Feb-2062</c:v>
                </c:pt>
                <c:pt idx="142">
                  <c:v>15-May-2062</c:v>
                </c:pt>
                <c:pt idx="143">
                  <c:v>15-Aug-2062</c:v>
                </c:pt>
                <c:pt idx="144">
                  <c:v>15-Nov-2062</c:v>
                </c:pt>
                <c:pt idx="145">
                  <c:v>15-Feb-2063</c:v>
                </c:pt>
                <c:pt idx="146">
                  <c:v>15-May-2063</c:v>
                </c:pt>
                <c:pt idx="147">
                  <c:v>15-Aug-2063</c:v>
                </c:pt>
                <c:pt idx="148">
                  <c:v>15-Nov-2063</c:v>
                </c:pt>
                <c:pt idx="149">
                  <c:v>15-Feb-2064</c:v>
                </c:pt>
                <c:pt idx="150">
                  <c:v>15-May-2064</c:v>
                </c:pt>
                <c:pt idx="151">
                  <c:v>15-Aug-2064</c:v>
                </c:pt>
                <c:pt idx="152">
                  <c:v>17-Nov-2064</c:v>
                </c:pt>
                <c:pt idx="153">
                  <c:v>16-Feb-2065</c:v>
                </c:pt>
                <c:pt idx="154">
                  <c:v>15-May-2065</c:v>
                </c:pt>
                <c:pt idx="155">
                  <c:v>17-Aug-2065</c:v>
                </c:pt>
                <c:pt idx="156">
                  <c:v>16-Nov-2065</c:v>
                </c:pt>
                <c:pt idx="157">
                  <c:v>15-Feb-2066</c:v>
                </c:pt>
                <c:pt idx="158">
                  <c:v>17-May-2066</c:v>
                </c:pt>
                <c:pt idx="159">
                  <c:v>16-Aug-2066</c:v>
                </c:pt>
                <c:pt idx="160">
                  <c:v>15-Nov-2066</c:v>
                </c:pt>
                <c:pt idx="161">
                  <c:v>15-Feb-2067</c:v>
                </c:pt>
                <c:pt idx="162">
                  <c:v>16-May-2067</c:v>
                </c:pt>
                <c:pt idx="163">
                  <c:v>15-Aug-2067</c:v>
                </c:pt>
                <c:pt idx="164">
                  <c:v>15-Nov-2067</c:v>
                </c:pt>
                <c:pt idx="165">
                  <c:v>15-Feb-2068</c:v>
                </c:pt>
                <c:pt idx="166">
                  <c:v>15-May-2068</c:v>
                </c:pt>
                <c:pt idx="167">
                  <c:v>15-Aug-2068</c:v>
                </c:pt>
                <c:pt idx="168">
                  <c:v>15-Nov-2068</c:v>
                </c:pt>
                <c:pt idx="169">
                  <c:v>15-Feb-2069</c:v>
                </c:pt>
                <c:pt idx="170">
                  <c:v>15-May-2069</c:v>
                </c:pt>
                <c:pt idx="171">
                  <c:v>15-Aug-2069</c:v>
                </c:pt>
                <c:pt idx="172">
                  <c:v>15-Nov-2069</c:v>
                </c:pt>
                <c:pt idx="173">
                  <c:v>17-Feb-2070</c:v>
                </c:pt>
                <c:pt idx="174">
                  <c:v>15-May-2070</c:v>
                </c:pt>
                <c:pt idx="175">
                  <c:v>15-Aug-2070</c:v>
                </c:pt>
                <c:pt idx="176">
                  <c:v>17-Nov-2070</c:v>
                </c:pt>
                <c:pt idx="177">
                  <c:v>16-Feb-2071</c:v>
                </c:pt>
                <c:pt idx="178">
                  <c:v>15-May-2071</c:v>
                </c:pt>
                <c:pt idx="179">
                  <c:v>17-Aug-2071</c:v>
                </c:pt>
              </c:strCache>
            </c:strRef>
          </c:cat>
          <c:val>
            <c:numRef>
              <c:f>Engine!$AG$10:$AG$190</c:f>
              <c:numCache>
                <c:formatCode>#,##0.00;\(#,##0.00\);\-</c:formatCode>
                <c:ptCount val="181"/>
                <c:pt idx="0">
                  <c:v>110845068.75</c:v>
                </c:pt>
                <c:pt idx="1">
                  <c:v>107618318.360721</c:v>
                </c:pt>
                <c:pt idx="2">
                  <c:v>104433489.296911</c:v>
                </c:pt>
                <c:pt idx="3">
                  <c:v>101290099.391872</c:v>
                </c:pt>
                <c:pt idx="4">
                  <c:v>98187671.8565366</c:v>
                </c:pt>
                <c:pt idx="5">
                  <c:v>95125735.2199955</c:v>
                </c:pt>
                <c:pt idx="6">
                  <c:v>91876382.6147132</c:v>
                </c:pt>
                <c:pt idx="7">
                  <c:v>88897360.6468753</c:v>
                </c:pt>
                <c:pt idx="8">
                  <c:v>85738999.4690593</c:v>
                </c:pt>
                <c:pt idx="9">
                  <c:v>82601662.94718</c:v>
                </c:pt>
                <c:pt idx="10">
                  <c:v>79757555.2101706</c:v>
                </c:pt>
                <c:pt idx="11">
                  <c:v>76951809.8250902</c:v>
                </c:pt>
                <c:pt idx="12">
                  <c:v>73947308.8062672</c:v>
                </c:pt>
                <c:pt idx="13">
                  <c:v>70986264.4952102</c:v>
                </c:pt>
                <c:pt idx="14">
                  <c:v>68068192.8970181</c:v>
                </c:pt>
                <c:pt idx="15">
                  <c:v>65176744.1472161</c:v>
                </c:pt>
                <c:pt idx="16">
                  <c:v>62343086.1540664</c:v>
                </c:pt>
                <c:pt idx="17">
                  <c:v>59548951.4401971</c:v>
                </c:pt>
                <c:pt idx="18">
                  <c:v>56791606.0401812</c:v>
                </c:pt>
                <c:pt idx="19">
                  <c:v>54058653.8720916</c:v>
                </c:pt>
                <c:pt idx="20">
                  <c:v>51373618.4747396</c:v>
                </c:pt>
                <c:pt idx="21">
                  <c:v>48724113.1897012</c:v>
                </c:pt>
                <c:pt idx="22">
                  <c:v>46109727.6198699</c:v>
                </c:pt>
                <c:pt idx="23">
                  <c:v>43530055.9506061</c:v>
                </c:pt>
                <c:pt idx="24">
                  <c:v>40984696.8990485</c:v>
                </c:pt>
                <c:pt idx="25">
                  <c:v>38473253.663983</c:v>
                </c:pt>
                <c:pt idx="26">
                  <c:v>35995333.8762656</c:v>
                </c:pt>
                <c:pt idx="27">
                  <c:v>33550549.5497923</c:v>
                </c:pt>
                <c:pt idx="28">
                  <c:v>31138517.0330092</c:v>
                </c:pt>
                <c:pt idx="29">
                  <c:v>28758856.9609584</c:v>
                </c:pt>
                <c:pt idx="30">
                  <c:v>26411194.2078525</c:v>
                </c:pt>
                <c:pt idx="31">
                  <c:v>24095157.8401723</c:v>
                </c:pt>
                <c:pt idx="32">
                  <c:v>21810381.070282</c:v>
                </c:pt>
                <c:pt idx="33">
                  <c:v>19556501.2105566</c:v>
                </c:pt>
                <c:pt idx="34">
                  <c:v>17333159.6280148</c:v>
                </c:pt>
                <c:pt idx="35">
                  <c:v>15140001.6994524</c:v>
                </c:pt>
                <c:pt idx="36">
                  <c:v>12976676.7670717</c:v>
                </c:pt>
                <c:pt idx="37">
                  <c:v>10842838.0945992</c:v>
                </c:pt>
                <c:pt idx="38">
                  <c:v>8738142.82388802</c:v>
                </c:pt>
                <c:pt idx="39">
                  <c:v>6662251.93199964</c:v>
                </c:pt>
                <c:pt idx="40">
                  <c:v>4614830.18875822</c:v>
                </c:pt>
                <c:pt idx="41">
                  <c:v>2595546.11477393</c:v>
                </c:pt>
                <c:pt idx="42">
                  <c:v>604071.939929251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03558"/>
        <c:axId val="29343088"/>
      </c:lineChart>
      <c:catAx>
        <c:axId val="2703558"/>
        <c:scaling>
          <c:orientation val="minMax"/>
        </c:scaling>
        <c:delete val="0"/>
        <c:axPos val="b"/>
        <c:numFmt formatCode="dd\-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43088"/>
        <c:crosses val="autoZero"/>
        <c:auto val="1"/>
        <c:lblAlgn val="ctr"/>
        <c:lblOffset val="100"/>
        <c:noMultiLvlLbl val="0"/>
      </c:catAx>
      <c:valAx>
        <c:axId val="293430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35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Class A cash flow (€) per IPD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Engine!AI9</c:f>
              <c:strCache>
                <c:ptCount val="1"/>
                <c:pt idx="0">
                  <c:v>CF 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Engine!$C$11:$C$190</c:f>
              <c:strCache>
                <c:ptCount val="180"/>
                <c:pt idx="0">
                  <c:v>16-Nov-2026</c:v>
                </c:pt>
                <c:pt idx="1">
                  <c:v>15-Feb-2027</c:v>
                </c:pt>
                <c:pt idx="2">
                  <c:v>17-May-2027</c:v>
                </c:pt>
                <c:pt idx="3">
                  <c:v>16-Aug-2027</c:v>
                </c:pt>
                <c:pt idx="4">
                  <c:v>15-Nov-2027</c:v>
                </c:pt>
                <c:pt idx="5">
                  <c:v>15-Feb-2028</c:v>
                </c:pt>
                <c:pt idx="6">
                  <c:v>15-May-2028</c:v>
                </c:pt>
                <c:pt idx="7">
                  <c:v>15-Aug-2028</c:v>
                </c:pt>
                <c:pt idx="8">
                  <c:v>15-Nov-2028</c:v>
                </c:pt>
                <c:pt idx="9">
                  <c:v>15-Feb-2029</c:v>
                </c:pt>
                <c:pt idx="10">
                  <c:v>15-May-2029</c:v>
                </c:pt>
                <c:pt idx="11">
                  <c:v>15-Aug-2029</c:v>
                </c:pt>
                <c:pt idx="12">
                  <c:v>15-Nov-2029</c:v>
                </c:pt>
                <c:pt idx="13">
                  <c:v>15-Feb-2030</c:v>
                </c:pt>
                <c:pt idx="14">
                  <c:v>15-May-2030</c:v>
                </c:pt>
                <c:pt idx="15">
                  <c:v>15-Aug-2030</c:v>
                </c:pt>
                <c:pt idx="16">
                  <c:v>15-Nov-2030</c:v>
                </c:pt>
                <c:pt idx="17">
                  <c:v>17-Feb-2031</c:v>
                </c:pt>
                <c:pt idx="18">
                  <c:v>15-May-2031</c:v>
                </c:pt>
                <c:pt idx="19">
                  <c:v>15-Aug-2031</c:v>
                </c:pt>
                <c:pt idx="20">
                  <c:v>17-Nov-2031</c:v>
                </c:pt>
                <c:pt idx="21">
                  <c:v>16-Feb-2032</c:v>
                </c:pt>
                <c:pt idx="22">
                  <c:v>17-May-2032</c:v>
                </c:pt>
                <c:pt idx="23">
                  <c:v>16-Aug-2032</c:v>
                </c:pt>
                <c:pt idx="24">
                  <c:v>15-Nov-2032</c:v>
                </c:pt>
                <c:pt idx="25">
                  <c:v>15-Feb-2033</c:v>
                </c:pt>
                <c:pt idx="26">
                  <c:v>16-May-2033</c:v>
                </c:pt>
                <c:pt idx="27">
                  <c:v>15-Aug-2033</c:v>
                </c:pt>
                <c:pt idx="28">
                  <c:v>15-Nov-2033</c:v>
                </c:pt>
                <c:pt idx="29">
                  <c:v>15-Feb-2034</c:v>
                </c:pt>
                <c:pt idx="30">
                  <c:v>15-May-2034</c:v>
                </c:pt>
                <c:pt idx="31">
                  <c:v>15-Aug-2034</c:v>
                </c:pt>
                <c:pt idx="32">
                  <c:v>15-Nov-2034</c:v>
                </c:pt>
                <c:pt idx="33">
                  <c:v>15-Feb-2035</c:v>
                </c:pt>
                <c:pt idx="34">
                  <c:v>15-May-2035</c:v>
                </c:pt>
                <c:pt idx="35">
                  <c:v>15-Aug-2035</c:v>
                </c:pt>
                <c:pt idx="36">
                  <c:v>15-Nov-2035</c:v>
                </c:pt>
                <c:pt idx="37">
                  <c:v>15-Feb-2036</c:v>
                </c:pt>
                <c:pt idx="38">
                  <c:v>15-May-2036</c:v>
                </c:pt>
                <c:pt idx="39">
                  <c:v>15-Aug-2036</c:v>
                </c:pt>
                <c:pt idx="40">
                  <c:v>17-Nov-2036</c:v>
                </c:pt>
                <c:pt idx="41">
                  <c:v>16-Feb-2037</c:v>
                </c:pt>
                <c:pt idx="42">
                  <c:v>15-May-2037</c:v>
                </c:pt>
                <c:pt idx="43">
                  <c:v>17-Aug-2037</c:v>
                </c:pt>
                <c:pt idx="44">
                  <c:v>16-Nov-2037</c:v>
                </c:pt>
                <c:pt idx="45">
                  <c:v>15-Feb-2038</c:v>
                </c:pt>
                <c:pt idx="46">
                  <c:v>17-May-2038</c:v>
                </c:pt>
                <c:pt idx="47">
                  <c:v>16-Aug-2038</c:v>
                </c:pt>
                <c:pt idx="48">
                  <c:v>15-Nov-2038</c:v>
                </c:pt>
                <c:pt idx="49">
                  <c:v>15-Feb-2039</c:v>
                </c:pt>
                <c:pt idx="50">
                  <c:v>16-May-2039</c:v>
                </c:pt>
                <c:pt idx="51">
                  <c:v>15-Aug-2039</c:v>
                </c:pt>
                <c:pt idx="52">
                  <c:v>15-Nov-2039</c:v>
                </c:pt>
                <c:pt idx="53">
                  <c:v>15-Feb-2040</c:v>
                </c:pt>
                <c:pt idx="54">
                  <c:v>15-May-2040</c:v>
                </c:pt>
                <c:pt idx="55">
                  <c:v>15-Aug-2040</c:v>
                </c:pt>
                <c:pt idx="56">
                  <c:v>15-Nov-2040</c:v>
                </c:pt>
                <c:pt idx="57">
                  <c:v>15-Feb-2041</c:v>
                </c:pt>
                <c:pt idx="58">
                  <c:v>15-May-2041</c:v>
                </c:pt>
                <c:pt idx="59">
                  <c:v>15-Aug-2041</c:v>
                </c:pt>
                <c:pt idx="60">
                  <c:v>15-Nov-2041</c:v>
                </c:pt>
                <c:pt idx="61">
                  <c:v>17-Feb-2042</c:v>
                </c:pt>
                <c:pt idx="62">
                  <c:v>15-May-2042</c:v>
                </c:pt>
                <c:pt idx="63">
                  <c:v>15-Aug-2042</c:v>
                </c:pt>
                <c:pt idx="64">
                  <c:v>17-Nov-2042</c:v>
                </c:pt>
                <c:pt idx="65">
                  <c:v>16-Feb-2043</c:v>
                </c:pt>
                <c:pt idx="66">
                  <c:v>15-May-2043</c:v>
                </c:pt>
                <c:pt idx="67">
                  <c:v>17-Aug-2043</c:v>
                </c:pt>
                <c:pt idx="68">
                  <c:v>16-Nov-2043</c:v>
                </c:pt>
                <c:pt idx="69">
                  <c:v>15-Feb-2044</c:v>
                </c:pt>
                <c:pt idx="70">
                  <c:v>16-May-2044</c:v>
                </c:pt>
                <c:pt idx="71">
                  <c:v>15-Aug-2044</c:v>
                </c:pt>
                <c:pt idx="72">
                  <c:v>15-Nov-2044</c:v>
                </c:pt>
                <c:pt idx="73">
                  <c:v>15-Feb-2045</c:v>
                </c:pt>
                <c:pt idx="74">
                  <c:v>15-May-2045</c:v>
                </c:pt>
                <c:pt idx="75">
                  <c:v>15-Aug-2045</c:v>
                </c:pt>
                <c:pt idx="76">
                  <c:v>15-Nov-2045</c:v>
                </c:pt>
                <c:pt idx="77">
                  <c:v>15-Feb-2046</c:v>
                </c:pt>
                <c:pt idx="78">
                  <c:v>15-May-2046</c:v>
                </c:pt>
                <c:pt idx="79">
                  <c:v>15-Aug-2046</c:v>
                </c:pt>
                <c:pt idx="80">
                  <c:v>15-Nov-2046</c:v>
                </c:pt>
                <c:pt idx="81">
                  <c:v>15-Feb-2047</c:v>
                </c:pt>
                <c:pt idx="82">
                  <c:v>15-May-2047</c:v>
                </c:pt>
                <c:pt idx="83">
                  <c:v>15-Aug-2047</c:v>
                </c:pt>
                <c:pt idx="84">
                  <c:v>15-Nov-2047</c:v>
                </c:pt>
                <c:pt idx="85">
                  <c:v>17-Feb-2048</c:v>
                </c:pt>
                <c:pt idx="86">
                  <c:v>15-May-2048</c:v>
                </c:pt>
                <c:pt idx="87">
                  <c:v>17-Aug-2048</c:v>
                </c:pt>
                <c:pt idx="88">
                  <c:v>16-Nov-2048</c:v>
                </c:pt>
                <c:pt idx="89">
                  <c:v>15-Feb-2049</c:v>
                </c:pt>
                <c:pt idx="90">
                  <c:v>17-May-2049</c:v>
                </c:pt>
                <c:pt idx="91">
                  <c:v>16-Aug-2049</c:v>
                </c:pt>
                <c:pt idx="92">
                  <c:v>15-Nov-2049</c:v>
                </c:pt>
                <c:pt idx="93">
                  <c:v>15-Feb-2050</c:v>
                </c:pt>
                <c:pt idx="94">
                  <c:v>16-May-2050</c:v>
                </c:pt>
                <c:pt idx="95">
                  <c:v>15-Aug-2050</c:v>
                </c:pt>
                <c:pt idx="96">
                  <c:v>15-Nov-2050</c:v>
                </c:pt>
                <c:pt idx="97">
                  <c:v>15-Feb-2051</c:v>
                </c:pt>
                <c:pt idx="98">
                  <c:v>15-May-2051</c:v>
                </c:pt>
                <c:pt idx="99">
                  <c:v>15-Aug-2051</c:v>
                </c:pt>
                <c:pt idx="100">
                  <c:v>15-Nov-2051</c:v>
                </c:pt>
                <c:pt idx="101">
                  <c:v>15-Feb-2052</c:v>
                </c:pt>
                <c:pt idx="102">
                  <c:v>15-May-2052</c:v>
                </c:pt>
                <c:pt idx="103">
                  <c:v>15-Aug-2052</c:v>
                </c:pt>
                <c:pt idx="104">
                  <c:v>15-Nov-2052</c:v>
                </c:pt>
                <c:pt idx="105">
                  <c:v>17-Feb-2053</c:v>
                </c:pt>
                <c:pt idx="106">
                  <c:v>15-May-2053</c:v>
                </c:pt>
                <c:pt idx="107">
                  <c:v>15-Aug-2053</c:v>
                </c:pt>
                <c:pt idx="108">
                  <c:v>17-Nov-2053</c:v>
                </c:pt>
                <c:pt idx="109">
                  <c:v>16-Feb-2054</c:v>
                </c:pt>
                <c:pt idx="110">
                  <c:v>15-May-2054</c:v>
                </c:pt>
                <c:pt idx="111">
                  <c:v>17-Aug-2054</c:v>
                </c:pt>
                <c:pt idx="112">
                  <c:v>16-Nov-2054</c:v>
                </c:pt>
                <c:pt idx="113">
                  <c:v>15-Feb-2055</c:v>
                </c:pt>
                <c:pt idx="114">
                  <c:v>17-May-2055</c:v>
                </c:pt>
                <c:pt idx="115">
                  <c:v>16-Aug-2055</c:v>
                </c:pt>
                <c:pt idx="116">
                  <c:v>15-Nov-2055</c:v>
                </c:pt>
                <c:pt idx="117">
                  <c:v>15-Feb-2056</c:v>
                </c:pt>
                <c:pt idx="118">
                  <c:v>15-May-2056</c:v>
                </c:pt>
                <c:pt idx="119">
                  <c:v>15-Aug-2056</c:v>
                </c:pt>
                <c:pt idx="120">
                  <c:v>15-Nov-2056</c:v>
                </c:pt>
                <c:pt idx="121">
                  <c:v>15-Feb-2057</c:v>
                </c:pt>
                <c:pt idx="122">
                  <c:v>15-May-2057</c:v>
                </c:pt>
                <c:pt idx="123">
                  <c:v>15-Aug-2057</c:v>
                </c:pt>
                <c:pt idx="124">
                  <c:v>15-Nov-2057</c:v>
                </c:pt>
                <c:pt idx="125">
                  <c:v>15-Feb-2058</c:v>
                </c:pt>
                <c:pt idx="126">
                  <c:v>15-May-2058</c:v>
                </c:pt>
                <c:pt idx="127">
                  <c:v>15-Aug-2058</c:v>
                </c:pt>
                <c:pt idx="128">
                  <c:v>15-Nov-2058</c:v>
                </c:pt>
                <c:pt idx="129">
                  <c:v>17-Feb-2059</c:v>
                </c:pt>
                <c:pt idx="130">
                  <c:v>15-May-2059</c:v>
                </c:pt>
                <c:pt idx="131">
                  <c:v>15-Aug-2059</c:v>
                </c:pt>
                <c:pt idx="132">
                  <c:v>17-Nov-2059</c:v>
                </c:pt>
                <c:pt idx="133">
                  <c:v>16-Feb-2060</c:v>
                </c:pt>
                <c:pt idx="134">
                  <c:v>17-May-2060</c:v>
                </c:pt>
                <c:pt idx="135">
                  <c:v>16-Aug-2060</c:v>
                </c:pt>
                <c:pt idx="136">
                  <c:v>15-Nov-2060</c:v>
                </c:pt>
                <c:pt idx="137">
                  <c:v>15-Feb-2061</c:v>
                </c:pt>
                <c:pt idx="138">
                  <c:v>16-May-2061</c:v>
                </c:pt>
                <c:pt idx="139">
                  <c:v>15-Aug-2061</c:v>
                </c:pt>
                <c:pt idx="140">
                  <c:v>15-Nov-2061</c:v>
                </c:pt>
                <c:pt idx="141">
                  <c:v>15-Feb-2062</c:v>
                </c:pt>
                <c:pt idx="142">
                  <c:v>15-May-2062</c:v>
                </c:pt>
                <c:pt idx="143">
                  <c:v>15-Aug-2062</c:v>
                </c:pt>
                <c:pt idx="144">
                  <c:v>15-Nov-2062</c:v>
                </c:pt>
                <c:pt idx="145">
                  <c:v>15-Feb-2063</c:v>
                </c:pt>
                <c:pt idx="146">
                  <c:v>15-May-2063</c:v>
                </c:pt>
                <c:pt idx="147">
                  <c:v>15-Aug-2063</c:v>
                </c:pt>
                <c:pt idx="148">
                  <c:v>15-Nov-2063</c:v>
                </c:pt>
                <c:pt idx="149">
                  <c:v>15-Feb-2064</c:v>
                </c:pt>
                <c:pt idx="150">
                  <c:v>15-May-2064</c:v>
                </c:pt>
                <c:pt idx="151">
                  <c:v>15-Aug-2064</c:v>
                </c:pt>
                <c:pt idx="152">
                  <c:v>17-Nov-2064</c:v>
                </c:pt>
                <c:pt idx="153">
                  <c:v>16-Feb-2065</c:v>
                </c:pt>
                <c:pt idx="154">
                  <c:v>15-May-2065</c:v>
                </c:pt>
                <c:pt idx="155">
                  <c:v>17-Aug-2065</c:v>
                </c:pt>
                <c:pt idx="156">
                  <c:v>16-Nov-2065</c:v>
                </c:pt>
                <c:pt idx="157">
                  <c:v>15-Feb-2066</c:v>
                </c:pt>
                <c:pt idx="158">
                  <c:v>17-May-2066</c:v>
                </c:pt>
                <c:pt idx="159">
                  <c:v>16-Aug-2066</c:v>
                </c:pt>
                <c:pt idx="160">
                  <c:v>15-Nov-2066</c:v>
                </c:pt>
                <c:pt idx="161">
                  <c:v>15-Feb-2067</c:v>
                </c:pt>
                <c:pt idx="162">
                  <c:v>16-May-2067</c:v>
                </c:pt>
                <c:pt idx="163">
                  <c:v>15-Aug-2067</c:v>
                </c:pt>
                <c:pt idx="164">
                  <c:v>15-Nov-2067</c:v>
                </c:pt>
                <c:pt idx="165">
                  <c:v>15-Feb-2068</c:v>
                </c:pt>
                <c:pt idx="166">
                  <c:v>15-May-2068</c:v>
                </c:pt>
                <c:pt idx="167">
                  <c:v>15-Aug-2068</c:v>
                </c:pt>
                <c:pt idx="168">
                  <c:v>15-Nov-2068</c:v>
                </c:pt>
                <c:pt idx="169">
                  <c:v>15-Feb-2069</c:v>
                </c:pt>
                <c:pt idx="170">
                  <c:v>15-May-2069</c:v>
                </c:pt>
                <c:pt idx="171">
                  <c:v>15-Aug-2069</c:v>
                </c:pt>
                <c:pt idx="172">
                  <c:v>15-Nov-2069</c:v>
                </c:pt>
                <c:pt idx="173">
                  <c:v>17-Feb-2070</c:v>
                </c:pt>
                <c:pt idx="174">
                  <c:v>15-May-2070</c:v>
                </c:pt>
                <c:pt idx="175">
                  <c:v>15-Aug-2070</c:v>
                </c:pt>
                <c:pt idx="176">
                  <c:v>17-Nov-2070</c:v>
                </c:pt>
                <c:pt idx="177">
                  <c:v>16-Feb-2071</c:v>
                </c:pt>
                <c:pt idx="178">
                  <c:v>15-May-2071</c:v>
                </c:pt>
                <c:pt idx="179">
                  <c:v>17-Aug-2071</c:v>
                </c:pt>
              </c:strCache>
            </c:strRef>
          </c:cat>
          <c:val>
            <c:numRef>
              <c:f>Engine!$AI$10:$AI$190</c:f>
              <c:numCache>
                <c:formatCode>#,##0;\(#,##0\);\-</c:formatCode>
                <c:ptCount val="181"/>
                <c:pt idx="1">
                  <c:v>3930591.94360382</c:v>
                </c:pt>
                <c:pt idx="2">
                  <c:v>3868181.47021938</c:v>
                </c:pt>
                <c:pt idx="3">
                  <c:v>3806519.35463177</c:v>
                </c:pt>
                <c:pt idx="4">
                  <c:v>3745597.15756293</c:v>
                </c:pt>
                <c:pt idx="5">
                  <c:v>3685406.53334745</c:v>
                </c:pt>
                <c:pt idx="6">
                  <c:v>3860017.5472901</c:v>
                </c:pt>
                <c:pt idx="7">
                  <c:v>3556005.65065826</c:v>
                </c:pt>
                <c:pt idx="8">
                  <c:v>3729042.72323094</c:v>
                </c:pt>
                <c:pt idx="9">
                  <c:v>3687742.79224867</c:v>
                </c:pt>
                <c:pt idx="10">
                  <c:v>3374373.70128008</c:v>
                </c:pt>
                <c:pt idx="11">
                  <c:v>3301057.52683668</c:v>
                </c:pt>
                <c:pt idx="12">
                  <c:v>3498497.43709575</c:v>
                </c:pt>
                <c:pt idx="13">
                  <c:v>3435753.16812268</c:v>
                </c:pt>
                <c:pt idx="14">
                  <c:v>3373771.86680047</c:v>
                </c:pt>
                <c:pt idx="15">
                  <c:v>3314167.35395749</c:v>
                </c:pt>
                <c:pt idx="16">
                  <c:v>3252063.72313297</c:v>
                </c:pt>
                <c:pt idx="17">
                  <c:v>3194349.61894018</c:v>
                </c:pt>
                <c:pt idx="18">
                  <c:v>3147933.58906232</c:v>
                </c:pt>
                <c:pt idx="19">
                  <c:v>3077715.07782417</c:v>
                </c:pt>
                <c:pt idx="20">
                  <c:v>3032067.92914245</c:v>
                </c:pt>
                <c:pt idx="21">
                  <c:v>2986470.55679398</c:v>
                </c:pt>
                <c:pt idx="22">
                  <c:v>2923772.86100526</c:v>
                </c:pt>
                <c:pt idx="23">
                  <c:v>2872458.19304377</c:v>
                </c:pt>
                <c:pt idx="24">
                  <c:v>2821765.23349819</c:v>
                </c:pt>
                <c:pt idx="25">
                  <c:v>2771686.95266407</c:v>
                </c:pt>
                <c:pt idx="26">
                  <c:v>2724900.97701629</c:v>
                </c:pt>
                <c:pt idx="27">
                  <c:v>2670835.02321629</c:v>
                </c:pt>
                <c:pt idx="28">
                  <c:v>2625071.0507466</c:v>
                </c:pt>
                <c:pt idx="29">
                  <c:v>2579555.51206178</c:v>
                </c:pt>
                <c:pt idx="30">
                  <c:v>2532281.83308105</c:v>
                </c:pt>
                <c:pt idx="31">
                  <c:v>2480055.75286528</c:v>
                </c:pt>
                <c:pt idx="32">
                  <c:v>2439456.97426513</c:v>
                </c:pt>
                <c:pt idx="33">
                  <c:v>2393892.81269389</c:v>
                </c:pt>
                <c:pt idx="34">
                  <c:v>2348885.62853533</c:v>
                </c:pt>
                <c:pt idx="35">
                  <c:v>2300800.70166557</c:v>
                </c:pt>
                <c:pt idx="36">
                  <c:v>2260517.01440154</c:v>
                </c:pt>
                <c:pt idx="37">
                  <c:v>2217143.16990527</c:v>
                </c:pt>
                <c:pt idx="38">
                  <c:v>2174301.47223931</c:v>
                </c:pt>
                <c:pt idx="39">
                  <c:v>2130766.4288224</c:v>
                </c:pt>
                <c:pt idx="40">
                  <c:v>2090190.43964401</c:v>
                </c:pt>
                <c:pt idx="41">
                  <c:v>2049553.25795126</c:v>
                </c:pt>
                <c:pt idx="42">
                  <c:v>2007955.31588547</c:v>
                </c:pt>
                <c:pt idx="43">
                  <c:v>607781.210116834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val>
        </c:ser>
        <c:gapWidth val="150"/>
        <c:overlap val="0"/>
        <c:axId val="18074322"/>
        <c:axId val="5813734"/>
      </c:barChart>
      <c:catAx>
        <c:axId val="18074322"/>
        <c:scaling>
          <c:orientation val="minMax"/>
        </c:scaling>
        <c:delete val="0"/>
        <c:axPos val="b"/>
        <c:numFmt formatCode="dd\-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3734"/>
        <c:crosses val="autoZero"/>
        <c:auto val="1"/>
        <c:lblAlgn val="ctr"/>
        <c:lblOffset val="100"/>
        <c:noMultiLvlLbl val="0"/>
      </c:catAx>
      <c:valAx>
        <c:axId val="58137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743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UCI 15 monthly CPR (annualised) and 12m mean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UCI15_Pool!C3</c:f>
              <c:strCache>
                <c:ptCount val="1"/>
                <c:pt idx="0">
                  <c:v>Monthly CPR (annualised)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UCI15_Pool!$A$4:$A$244</c:f>
              <c:strCache>
                <c:ptCount val="241"/>
                <c:pt idx="0">
                  <c:v>31-May-2006</c:v>
                </c:pt>
                <c:pt idx="1">
                  <c:v>30-Jun-2006</c:v>
                </c:pt>
                <c:pt idx="2">
                  <c:v>31-Jul-2006</c:v>
                </c:pt>
                <c:pt idx="3">
                  <c:v>31-Aug-2006</c:v>
                </c:pt>
                <c:pt idx="4">
                  <c:v>30-Sep-2006</c:v>
                </c:pt>
                <c:pt idx="5">
                  <c:v>31-Oct-2006</c:v>
                </c:pt>
                <c:pt idx="6">
                  <c:v>30-Nov-2006</c:v>
                </c:pt>
                <c:pt idx="7">
                  <c:v>31-Dec-2006</c:v>
                </c:pt>
                <c:pt idx="8">
                  <c:v>31-Jan-2007</c:v>
                </c:pt>
                <c:pt idx="9">
                  <c:v>28-Feb-2007</c:v>
                </c:pt>
                <c:pt idx="10">
                  <c:v>31-Mar-2007</c:v>
                </c:pt>
                <c:pt idx="11">
                  <c:v>30-Apr-2007</c:v>
                </c:pt>
                <c:pt idx="12">
                  <c:v>31-May-2007</c:v>
                </c:pt>
                <c:pt idx="13">
                  <c:v>30-Jun-2007</c:v>
                </c:pt>
                <c:pt idx="14">
                  <c:v>31-Jul-2007</c:v>
                </c:pt>
                <c:pt idx="15">
                  <c:v>31-Aug-2007</c:v>
                </c:pt>
                <c:pt idx="16">
                  <c:v>30-Sep-2007</c:v>
                </c:pt>
                <c:pt idx="17">
                  <c:v>31-Oct-2007</c:v>
                </c:pt>
                <c:pt idx="18">
                  <c:v>30-Nov-2007</c:v>
                </c:pt>
                <c:pt idx="19">
                  <c:v>31-Dec-2007</c:v>
                </c:pt>
                <c:pt idx="20">
                  <c:v>31-Jan-2008</c:v>
                </c:pt>
                <c:pt idx="21">
                  <c:v>29-Feb-2008</c:v>
                </c:pt>
                <c:pt idx="22">
                  <c:v>31-Mar-2008</c:v>
                </c:pt>
                <c:pt idx="23">
                  <c:v>30-Apr-2008</c:v>
                </c:pt>
                <c:pt idx="24">
                  <c:v>31-May-2008</c:v>
                </c:pt>
                <c:pt idx="25">
                  <c:v>30-Jun-2008</c:v>
                </c:pt>
                <c:pt idx="26">
                  <c:v>31-Jul-2008</c:v>
                </c:pt>
                <c:pt idx="27">
                  <c:v>31-Aug-2008</c:v>
                </c:pt>
                <c:pt idx="28">
                  <c:v>30-Sep-2008</c:v>
                </c:pt>
                <c:pt idx="29">
                  <c:v>31-Oct-2008</c:v>
                </c:pt>
                <c:pt idx="30">
                  <c:v>30-Nov-2008</c:v>
                </c:pt>
                <c:pt idx="31">
                  <c:v>31-Dec-2008</c:v>
                </c:pt>
                <c:pt idx="32">
                  <c:v>31-Jan-2009</c:v>
                </c:pt>
                <c:pt idx="33">
                  <c:v>28-Feb-2009</c:v>
                </c:pt>
                <c:pt idx="34">
                  <c:v>31-Mar-2009</c:v>
                </c:pt>
                <c:pt idx="35">
                  <c:v>30-Apr-2009</c:v>
                </c:pt>
                <c:pt idx="36">
                  <c:v>31-May-2009</c:v>
                </c:pt>
                <c:pt idx="37">
                  <c:v>30-Jun-2009</c:v>
                </c:pt>
                <c:pt idx="38">
                  <c:v>31-Jul-2009</c:v>
                </c:pt>
                <c:pt idx="39">
                  <c:v>31-Aug-2009</c:v>
                </c:pt>
                <c:pt idx="40">
                  <c:v>30-Sep-2009</c:v>
                </c:pt>
                <c:pt idx="41">
                  <c:v>31-Oct-2009</c:v>
                </c:pt>
                <c:pt idx="42">
                  <c:v>30-Nov-2009</c:v>
                </c:pt>
                <c:pt idx="43">
                  <c:v>31-Dec-2009</c:v>
                </c:pt>
                <c:pt idx="44">
                  <c:v>31-Jan-2010</c:v>
                </c:pt>
                <c:pt idx="45">
                  <c:v>28-Feb-2010</c:v>
                </c:pt>
                <c:pt idx="46">
                  <c:v>31-Mar-2010</c:v>
                </c:pt>
                <c:pt idx="47">
                  <c:v>30-Apr-2010</c:v>
                </c:pt>
                <c:pt idx="48">
                  <c:v>31-May-2010</c:v>
                </c:pt>
                <c:pt idx="49">
                  <c:v>30-Jun-2010</c:v>
                </c:pt>
                <c:pt idx="50">
                  <c:v>31-Jul-2010</c:v>
                </c:pt>
                <c:pt idx="51">
                  <c:v>31-Aug-2010</c:v>
                </c:pt>
                <c:pt idx="52">
                  <c:v>30-Sep-2010</c:v>
                </c:pt>
                <c:pt idx="53">
                  <c:v>31-Oct-2010</c:v>
                </c:pt>
                <c:pt idx="54">
                  <c:v>30-Nov-2010</c:v>
                </c:pt>
                <c:pt idx="55">
                  <c:v>31-Dec-2010</c:v>
                </c:pt>
                <c:pt idx="56">
                  <c:v>31-Jan-2011</c:v>
                </c:pt>
                <c:pt idx="57">
                  <c:v>28-Feb-2011</c:v>
                </c:pt>
                <c:pt idx="58">
                  <c:v>31-Mar-2011</c:v>
                </c:pt>
                <c:pt idx="59">
                  <c:v>30-Apr-2011</c:v>
                </c:pt>
                <c:pt idx="60">
                  <c:v>31-May-2011</c:v>
                </c:pt>
                <c:pt idx="61">
                  <c:v>30-Jun-2011</c:v>
                </c:pt>
                <c:pt idx="62">
                  <c:v>31-Jul-2011</c:v>
                </c:pt>
                <c:pt idx="63">
                  <c:v>31-Aug-2011</c:v>
                </c:pt>
                <c:pt idx="64">
                  <c:v>30-Sep-2011</c:v>
                </c:pt>
                <c:pt idx="65">
                  <c:v>31-Oct-2011</c:v>
                </c:pt>
                <c:pt idx="66">
                  <c:v>30-Nov-2011</c:v>
                </c:pt>
                <c:pt idx="67">
                  <c:v>31-Dec-2011</c:v>
                </c:pt>
                <c:pt idx="68">
                  <c:v>31-Jan-2012</c:v>
                </c:pt>
                <c:pt idx="69">
                  <c:v>29-Feb-2012</c:v>
                </c:pt>
                <c:pt idx="70">
                  <c:v>31-Mar-2012</c:v>
                </c:pt>
                <c:pt idx="71">
                  <c:v>30-Apr-2012</c:v>
                </c:pt>
                <c:pt idx="72">
                  <c:v>31-May-2012</c:v>
                </c:pt>
                <c:pt idx="73">
                  <c:v>30-Jun-2012</c:v>
                </c:pt>
                <c:pt idx="74">
                  <c:v>31-Jul-2012</c:v>
                </c:pt>
                <c:pt idx="75">
                  <c:v>31-Aug-2012</c:v>
                </c:pt>
                <c:pt idx="76">
                  <c:v>30-Sep-2012</c:v>
                </c:pt>
                <c:pt idx="77">
                  <c:v>31-Oct-2012</c:v>
                </c:pt>
                <c:pt idx="78">
                  <c:v>30-Nov-2012</c:v>
                </c:pt>
                <c:pt idx="79">
                  <c:v>31-Dec-2012</c:v>
                </c:pt>
                <c:pt idx="80">
                  <c:v>31-Jan-2013</c:v>
                </c:pt>
                <c:pt idx="81">
                  <c:v>28-Feb-2013</c:v>
                </c:pt>
                <c:pt idx="82">
                  <c:v>31-Mar-2013</c:v>
                </c:pt>
                <c:pt idx="83">
                  <c:v>30-Apr-2013</c:v>
                </c:pt>
                <c:pt idx="84">
                  <c:v>31-May-2013</c:v>
                </c:pt>
                <c:pt idx="85">
                  <c:v>30-Jun-2013</c:v>
                </c:pt>
                <c:pt idx="86">
                  <c:v>31-Jul-2013</c:v>
                </c:pt>
                <c:pt idx="87">
                  <c:v>31-Aug-2013</c:v>
                </c:pt>
                <c:pt idx="88">
                  <c:v>30-Sep-2013</c:v>
                </c:pt>
                <c:pt idx="89">
                  <c:v>31-Oct-2013</c:v>
                </c:pt>
                <c:pt idx="90">
                  <c:v>30-Nov-2013</c:v>
                </c:pt>
                <c:pt idx="91">
                  <c:v>31-Dec-2013</c:v>
                </c:pt>
                <c:pt idx="92">
                  <c:v>31-Jan-2014</c:v>
                </c:pt>
                <c:pt idx="93">
                  <c:v>28-Feb-2014</c:v>
                </c:pt>
                <c:pt idx="94">
                  <c:v>31-Mar-2014</c:v>
                </c:pt>
                <c:pt idx="95">
                  <c:v>30-Apr-2014</c:v>
                </c:pt>
                <c:pt idx="96">
                  <c:v>31-May-2014</c:v>
                </c:pt>
                <c:pt idx="97">
                  <c:v>30-Jun-2014</c:v>
                </c:pt>
                <c:pt idx="98">
                  <c:v>31-Jul-2014</c:v>
                </c:pt>
                <c:pt idx="99">
                  <c:v>31-Aug-2014</c:v>
                </c:pt>
                <c:pt idx="100">
                  <c:v>30-Sep-2014</c:v>
                </c:pt>
                <c:pt idx="101">
                  <c:v>31-Oct-2014</c:v>
                </c:pt>
                <c:pt idx="102">
                  <c:v>30-Nov-2014</c:v>
                </c:pt>
                <c:pt idx="103">
                  <c:v>31-Dec-2014</c:v>
                </c:pt>
                <c:pt idx="104">
                  <c:v>31-Jan-2015</c:v>
                </c:pt>
                <c:pt idx="105">
                  <c:v>28-Feb-2015</c:v>
                </c:pt>
                <c:pt idx="106">
                  <c:v>31-Mar-2015</c:v>
                </c:pt>
                <c:pt idx="107">
                  <c:v>30-Apr-2015</c:v>
                </c:pt>
                <c:pt idx="108">
                  <c:v>31-May-2015</c:v>
                </c:pt>
                <c:pt idx="109">
                  <c:v>30-Jun-2015</c:v>
                </c:pt>
                <c:pt idx="110">
                  <c:v>31-Jul-2015</c:v>
                </c:pt>
                <c:pt idx="111">
                  <c:v>31-Aug-2015</c:v>
                </c:pt>
                <c:pt idx="112">
                  <c:v>30-Sep-2015</c:v>
                </c:pt>
                <c:pt idx="113">
                  <c:v>31-Oct-2015</c:v>
                </c:pt>
                <c:pt idx="114">
                  <c:v>30-Nov-2015</c:v>
                </c:pt>
                <c:pt idx="115">
                  <c:v>31-Dec-2015</c:v>
                </c:pt>
                <c:pt idx="116">
                  <c:v>31-Jan-2016</c:v>
                </c:pt>
                <c:pt idx="117">
                  <c:v>29-Feb-2016</c:v>
                </c:pt>
                <c:pt idx="118">
                  <c:v>31-Mar-2016</c:v>
                </c:pt>
                <c:pt idx="119">
                  <c:v>30-Apr-2016</c:v>
                </c:pt>
                <c:pt idx="120">
                  <c:v>31-May-2016</c:v>
                </c:pt>
                <c:pt idx="121">
                  <c:v>30-Jun-2016</c:v>
                </c:pt>
                <c:pt idx="122">
                  <c:v>31-Jul-2016</c:v>
                </c:pt>
                <c:pt idx="123">
                  <c:v>31-Aug-2016</c:v>
                </c:pt>
                <c:pt idx="124">
                  <c:v>30-Sep-2016</c:v>
                </c:pt>
                <c:pt idx="125">
                  <c:v>31-Oct-2016</c:v>
                </c:pt>
                <c:pt idx="126">
                  <c:v>30-Nov-2016</c:v>
                </c:pt>
                <c:pt idx="127">
                  <c:v>31-Dec-2016</c:v>
                </c:pt>
                <c:pt idx="128">
                  <c:v>31-Jan-2017</c:v>
                </c:pt>
                <c:pt idx="129">
                  <c:v>28-Feb-2017</c:v>
                </c:pt>
                <c:pt idx="130">
                  <c:v>31-Mar-2017</c:v>
                </c:pt>
                <c:pt idx="131">
                  <c:v>30-Apr-2017</c:v>
                </c:pt>
                <c:pt idx="132">
                  <c:v>31-May-2017</c:v>
                </c:pt>
                <c:pt idx="133">
                  <c:v>30-Jun-2017</c:v>
                </c:pt>
                <c:pt idx="134">
                  <c:v>31-Jul-2017</c:v>
                </c:pt>
                <c:pt idx="135">
                  <c:v>31-Aug-2017</c:v>
                </c:pt>
                <c:pt idx="136">
                  <c:v>30-Sep-2017</c:v>
                </c:pt>
                <c:pt idx="137">
                  <c:v>31-Oct-2017</c:v>
                </c:pt>
                <c:pt idx="138">
                  <c:v>30-Nov-2017</c:v>
                </c:pt>
                <c:pt idx="139">
                  <c:v>31-Dec-2017</c:v>
                </c:pt>
                <c:pt idx="140">
                  <c:v>31-Jan-2018</c:v>
                </c:pt>
                <c:pt idx="141">
                  <c:v>28-Feb-2018</c:v>
                </c:pt>
                <c:pt idx="142">
                  <c:v>31-Mar-2018</c:v>
                </c:pt>
                <c:pt idx="143">
                  <c:v>30-Apr-2018</c:v>
                </c:pt>
                <c:pt idx="144">
                  <c:v>31-May-2018</c:v>
                </c:pt>
                <c:pt idx="145">
                  <c:v>30-Jun-2018</c:v>
                </c:pt>
                <c:pt idx="146">
                  <c:v>31-Jul-2018</c:v>
                </c:pt>
                <c:pt idx="147">
                  <c:v>31-Aug-2018</c:v>
                </c:pt>
                <c:pt idx="148">
                  <c:v>30-Sep-2018</c:v>
                </c:pt>
                <c:pt idx="149">
                  <c:v>31-Oct-2018</c:v>
                </c:pt>
                <c:pt idx="150">
                  <c:v>30-Nov-2018</c:v>
                </c:pt>
                <c:pt idx="151">
                  <c:v>31-Dec-2018</c:v>
                </c:pt>
                <c:pt idx="152">
                  <c:v>31-Jan-2019</c:v>
                </c:pt>
                <c:pt idx="153">
                  <c:v>28-Feb-2019</c:v>
                </c:pt>
                <c:pt idx="154">
                  <c:v>31-Mar-2019</c:v>
                </c:pt>
                <c:pt idx="155">
                  <c:v>30-Apr-2019</c:v>
                </c:pt>
                <c:pt idx="156">
                  <c:v>31-May-2019</c:v>
                </c:pt>
                <c:pt idx="157">
                  <c:v>30-Jun-2019</c:v>
                </c:pt>
                <c:pt idx="158">
                  <c:v>31-Jul-2019</c:v>
                </c:pt>
                <c:pt idx="159">
                  <c:v>31-Aug-2019</c:v>
                </c:pt>
                <c:pt idx="160">
                  <c:v>30-Sep-2019</c:v>
                </c:pt>
                <c:pt idx="161">
                  <c:v>31-Oct-2019</c:v>
                </c:pt>
                <c:pt idx="162">
                  <c:v>30-Nov-2019</c:v>
                </c:pt>
                <c:pt idx="163">
                  <c:v>31-Dec-2019</c:v>
                </c:pt>
                <c:pt idx="164">
                  <c:v>31-Jan-2020</c:v>
                </c:pt>
                <c:pt idx="165">
                  <c:v>29-Feb-2020</c:v>
                </c:pt>
                <c:pt idx="166">
                  <c:v>31-Mar-2020</c:v>
                </c:pt>
                <c:pt idx="167">
                  <c:v>30-Apr-2020</c:v>
                </c:pt>
                <c:pt idx="168">
                  <c:v>31-May-2020</c:v>
                </c:pt>
                <c:pt idx="169">
                  <c:v>30-Jun-2020</c:v>
                </c:pt>
                <c:pt idx="170">
                  <c:v>31-Jul-2020</c:v>
                </c:pt>
                <c:pt idx="171">
                  <c:v>31-Aug-2020</c:v>
                </c:pt>
                <c:pt idx="172">
                  <c:v>30-Sep-2020</c:v>
                </c:pt>
                <c:pt idx="173">
                  <c:v>31-Oct-2020</c:v>
                </c:pt>
                <c:pt idx="174">
                  <c:v>30-Nov-2020</c:v>
                </c:pt>
                <c:pt idx="175">
                  <c:v>31-Dec-2020</c:v>
                </c:pt>
                <c:pt idx="176">
                  <c:v>31-Jan-2021</c:v>
                </c:pt>
                <c:pt idx="177">
                  <c:v>28-Feb-2021</c:v>
                </c:pt>
                <c:pt idx="178">
                  <c:v>31-Mar-2021</c:v>
                </c:pt>
                <c:pt idx="179">
                  <c:v>30-Apr-2021</c:v>
                </c:pt>
                <c:pt idx="180">
                  <c:v>31-May-2021</c:v>
                </c:pt>
                <c:pt idx="181">
                  <c:v>30-Jun-2021</c:v>
                </c:pt>
                <c:pt idx="182">
                  <c:v>31-Jul-2021</c:v>
                </c:pt>
                <c:pt idx="183">
                  <c:v>31-Aug-2021</c:v>
                </c:pt>
                <c:pt idx="184">
                  <c:v>30-Sep-2021</c:v>
                </c:pt>
                <c:pt idx="185">
                  <c:v>31-Oct-2021</c:v>
                </c:pt>
                <c:pt idx="186">
                  <c:v>30-Nov-2021</c:v>
                </c:pt>
                <c:pt idx="187">
                  <c:v>31-Dec-2021</c:v>
                </c:pt>
                <c:pt idx="188">
                  <c:v>31-Jan-2022</c:v>
                </c:pt>
                <c:pt idx="189">
                  <c:v>28-Feb-2022</c:v>
                </c:pt>
                <c:pt idx="190">
                  <c:v>31-Mar-2022</c:v>
                </c:pt>
                <c:pt idx="191">
                  <c:v>30-Apr-2022</c:v>
                </c:pt>
                <c:pt idx="192">
                  <c:v>31-May-2022</c:v>
                </c:pt>
                <c:pt idx="193">
                  <c:v>30-Jun-2022</c:v>
                </c:pt>
                <c:pt idx="194">
                  <c:v>31-Jul-2022</c:v>
                </c:pt>
                <c:pt idx="195">
                  <c:v>31-Aug-2022</c:v>
                </c:pt>
                <c:pt idx="196">
                  <c:v>30-Sep-2022</c:v>
                </c:pt>
                <c:pt idx="197">
                  <c:v>31-Oct-2022</c:v>
                </c:pt>
                <c:pt idx="198">
                  <c:v>30-Nov-2022</c:v>
                </c:pt>
                <c:pt idx="199">
                  <c:v>31-Dec-2022</c:v>
                </c:pt>
                <c:pt idx="200">
                  <c:v>31-Jan-2023</c:v>
                </c:pt>
                <c:pt idx="201">
                  <c:v>28-Feb-2023</c:v>
                </c:pt>
                <c:pt idx="202">
                  <c:v>31-Mar-2023</c:v>
                </c:pt>
                <c:pt idx="203">
                  <c:v>30-Apr-2023</c:v>
                </c:pt>
                <c:pt idx="204">
                  <c:v>31-May-2023</c:v>
                </c:pt>
                <c:pt idx="205">
                  <c:v>30-Jun-2023</c:v>
                </c:pt>
                <c:pt idx="206">
                  <c:v>31-Jul-2023</c:v>
                </c:pt>
                <c:pt idx="207">
                  <c:v>31-Aug-2023</c:v>
                </c:pt>
                <c:pt idx="208">
                  <c:v>30-Sep-2023</c:v>
                </c:pt>
                <c:pt idx="209">
                  <c:v>31-Oct-2023</c:v>
                </c:pt>
                <c:pt idx="210">
                  <c:v>30-Nov-2023</c:v>
                </c:pt>
                <c:pt idx="211">
                  <c:v>31-Dec-2023</c:v>
                </c:pt>
                <c:pt idx="212">
                  <c:v>31-Jan-2024</c:v>
                </c:pt>
                <c:pt idx="213">
                  <c:v>29-Feb-2024</c:v>
                </c:pt>
                <c:pt idx="214">
                  <c:v>31-Mar-2024</c:v>
                </c:pt>
                <c:pt idx="215">
                  <c:v>30-Apr-2024</c:v>
                </c:pt>
                <c:pt idx="216">
                  <c:v>31-May-2024</c:v>
                </c:pt>
                <c:pt idx="217">
                  <c:v>30-Jun-2024</c:v>
                </c:pt>
                <c:pt idx="218">
                  <c:v>31-Jul-2024</c:v>
                </c:pt>
                <c:pt idx="219">
                  <c:v>31-Aug-2024</c:v>
                </c:pt>
                <c:pt idx="220">
                  <c:v>30-Sep-2024</c:v>
                </c:pt>
                <c:pt idx="221">
                  <c:v>31-Oct-2024</c:v>
                </c:pt>
                <c:pt idx="222">
                  <c:v>30-Nov-2024</c:v>
                </c:pt>
                <c:pt idx="223">
                  <c:v>31-Dec-2024</c:v>
                </c:pt>
                <c:pt idx="224">
                  <c:v>31-Jan-2025</c:v>
                </c:pt>
                <c:pt idx="225">
                  <c:v>28-Feb-2025</c:v>
                </c:pt>
                <c:pt idx="226">
                  <c:v>31-Mar-2025</c:v>
                </c:pt>
                <c:pt idx="227">
                  <c:v>30-Apr-2025</c:v>
                </c:pt>
                <c:pt idx="228">
                  <c:v>31-May-2025</c:v>
                </c:pt>
                <c:pt idx="229">
                  <c:v>30-Jun-2025</c:v>
                </c:pt>
                <c:pt idx="230">
                  <c:v>31-Jul-2025</c:v>
                </c:pt>
                <c:pt idx="231">
                  <c:v>31-Aug-2025</c:v>
                </c:pt>
                <c:pt idx="232">
                  <c:v>30-Sep-2025</c:v>
                </c:pt>
                <c:pt idx="233">
                  <c:v>31-Oct-2025</c:v>
                </c:pt>
                <c:pt idx="234">
                  <c:v>30-Nov-2025</c:v>
                </c:pt>
                <c:pt idx="235">
                  <c:v>31-Dec-2025</c:v>
                </c:pt>
                <c:pt idx="236">
                  <c:v>31-Jan-2026</c:v>
                </c:pt>
                <c:pt idx="237">
                  <c:v>28-Feb-2026</c:v>
                </c:pt>
                <c:pt idx="238">
                  <c:v>31-Mar-2026</c:v>
                </c:pt>
                <c:pt idx="239">
                  <c:v>30-Apr-2026</c:v>
                </c:pt>
                <c:pt idx="240">
                  <c:v>31-May-2026</c:v>
                </c:pt>
              </c:strCache>
            </c:strRef>
          </c:cat>
          <c:val>
            <c:numRef>
              <c:f>UCI15_Pool!$C$4:$C$244</c:f>
              <c:numCache>
                <c:formatCode>0.00%</c:formatCode>
                <c:ptCount val="241"/>
                <c:pt idx="0">
                  <c:v>0.3356</c:v>
                </c:pt>
                <c:pt idx="1">
                  <c:v>0.1953</c:v>
                </c:pt>
                <c:pt idx="2">
                  <c:v>0.1922</c:v>
                </c:pt>
                <c:pt idx="3">
                  <c:v>0.0856</c:v>
                </c:pt>
                <c:pt idx="4">
                  <c:v>0.1372</c:v>
                </c:pt>
                <c:pt idx="5">
                  <c:v>0.1708</c:v>
                </c:pt>
                <c:pt idx="6">
                  <c:v>0.1353</c:v>
                </c:pt>
                <c:pt idx="7">
                  <c:v>0.1632</c:v>
                </c:pt>
                <c:pt idx="8">
                  <c:v>0.1118</c:v>
                </c:pt>
                <c:pt idx="9">
                  <c:v>0.1588</c:v>
                </c:pt>
                <c:pt idx="10">
                  <c:v>0.2096</c:v>
                </c:pt>
                <c:pt idx="11">
                  <c:v>0.1486</c:v>
                </c:pt>
                <c:pt idx="12">
                  <c:v>0.1598</c:v>
                </c:pt>
                <c:pt idx="13">
                  <c:v>0.1745</c:v>
                </c:pt>
                <c:pt idx="14">
                  <c:v>0.1931</c:v>
                </c:pt>
                <c:pt idx="15">
                  <c:v>0.0853</c:v>
                </c:pt>
                <c:pt idx="16">
                  <c:v>0.1472</c:v>
                </c:pt>
                <c:pt idx="17">
                  <c:v>0.098</c:v>
                </c:pt>
                <c:pt idx="18">
                  <c:v>0.1079</c:v>
                </c:pt>
                <c:pt idx="19">
                  <c:v>0.0966</c:v>
                </c:pt>
                <c:pt idx="20">
                  <c:v>0.0966</c:v>
                </c:pt>
                <c:pt idx="21">
                  <c:v>0.083</c:v>
                </c:pt>
                <c:pt idx="22">
                  <c:v>0.0748</c:v>
                </c:pt>
                <c:pt idx="23">
                  <c:v>0.068</c:v>
                </c:pt>
                <c:pt idx="24">
                  <c:v>0.0725</c:v>
                </c:pt>
                <c:pt idx="25">
                  <c:v>0.078</c:v>
                </c:pt>
                <c:pt idx="26">
                  <c:v>0.0585</c:v>
                </c:pt>
                <c:pt idx="27">
                  <c:v>-0.042</c:v>
                </c:pt>
                <c:pt idx="28">
                  <c:v>0.0309</c:v>
                </c:pt>
                <c:pt idx="29">
                  <c:v>0.1402</c:v>
                </c:pt>
                <c:pt idx="30">
                  <c:v>0.0487</c:v>
                </c:pt>
                <c:pt idx="31">
                  <c:v>0.0581</c:v>
                </c:pt>
                <c:pt idx="32">
                  <c:v>0.0391</c:v>
                </c:pt>
                <c:pt idx="33">
                  <c:v>0.0515</c:v>
                </c:pt>
                <c:pt idx="34">
                  <c:v>0.0711</c:v>
                </c:pt>
                <c:pt idx="35">
                  <c:v>0.0461</c:v>
                </c:pt>
                <c:pt idx="36">
                  <c:v>0.0604</c:v>
                </c:pt>
                <c:pt idx="37">
                  <c:v>0.0834</c:v>
                </c:pt>
                <c:pt idx="38">
                  <c:v>0.0703</c:v>
                </c:pt>
                <c:pt idx="39">
                  <c:v>0.0416</c:v>
                </c:pt>
                <c:pt idx="40">
                  <c:v>0.0611</c:v>
                </c:pt>
                <c:pt idx="41">
                  <c:v>0.0744</c:v>
                </c:pt>
                <c:pt idx="42">
                  <c:v>0.0616</c:v>
                </c:pt>
                <c:pt idx="43">
                  <c:v>0.0677</c:v>
                </c:pt>
                <c:pt idx="44">
                  <c:v>0.0868</c:v>
                </c:pt>
                <c:pt idx="45">
                  <c:v>0.0553</c:v>
                </c:pt>
                <c:pt idx="46">
                  <c:v>0.0693</c:v>
                </c:pt>
                <c:pt idx="47">
                  <c:v>0.0523</c:v>
                </c:pt>
                <c:pt idx="48">
                  <c:v>0.0579</c:v>
                </c:pt>
                <c:pt idx="49">
                  <c:v>0.0981</c:v>
                </c:pt>
                <c:pt idx="50">
                  <c:v>0.0997</c:v>
                </c:pt>
                <c:pt idx="51">
                  <c:v>0.0518</c:v>
                </c:pt>
                <c:pt idx="52">
                  <c:v>0.0787</c:v>
                </c:pt>
                <c:pt idx="53">
                  <c:v>0.0649</c:v>
                </c:pt>
                <c:pt idx="54">
                  <c:v>0.0802</c:v>
                </c:pt>
                <c:pt idx="55">
                  <c:v>0.0439</c:v>
                </c:pt>
                <c:pt idx="56">
                  <c:v>0.0638</c:v>
                </c:pt>
                <c:pt idx="57">
                  <c:v>0.0416</c:v>
                </c:pt>
                <c:pt idx="58">
                  <c:v>0.0581</c:v>
                </c:pt>
                <c:pt idx="59">
                  <c:v>0.0432</c:v>
                </c:pt>
                <c:pt idx="60">
                  <c:v>0.0346</c:v>
                </c:pt>
                <c:pt idx="61">
                  <c:v>0.0417</c:v>
                </c:pt>
                <c:pt idx="62">
                  <c:v>0.0912</c:v>
                </c:pt>
                <c:pt idx="63">
                  <c:v>-0.0035</c:v>
                </c:pt>
                <c:pt idx="64">
                  <c:v>0.0064</c:v>
                </c:pt>
                <c:pt idx="65">
                  <c:v>0.0385</c:v>
                </c:pt>
                <c:pt idx="66">
                  <c:v>0.053</c:v>
                </c:pt>
                <c:pt idx="67">
                  <c:v>0.0056</c:v>
                </c:pt>
                <c:pt idx="68">
                  <c:v>0.0281</c:v>
                </c:pt>
                <c:pt idx="69">
                  <c:v>0.0538</c:v>
                </c:pt>
                <c:pt idx="70">
                  <c:v>0.0006</c:v>
                </c:pt>
                <c:pt idx="71">
                  <c:v>0.0172</c:v>
                </c:pt>
                <c:pt idx="72">
                  <c:v>0.0421</c:v>
                </c:pt>
                <c:pt idx="73">
                  <c:v>0.0104</c:v>
                </c:pt>
                <c:pt idx="74">
                  <c:v>0.0677</c:v>
                </c:pt>
                <c:pt idx="75">
                  <c:v>-0.0253</c:v>
                </c:pt>
                <c:pt idx="76">
                  <c:v>0.0275</c:v>
                </c:pt>
                <c:pt idx="77">
                  <c:v>0.0152</c:v>
                </c:pt>
                <c:pt idx="78">
                  <c:v>0.0048</c:v>
                </c:pt>
                <c:pt idx="79">
                  <c:v>0.0475</c:v>
                </c:pt>
                <c:pt idx="80">
                  <c:v>0.0157</c:v>
                </c:pt>
                <c:pt idx="81">
                  <c:v>0.0122</c:v>
                </c:pt>
                <c:pt idx="82">
                  <c:v>0.0468</c:v>
                </c:pt>
                <c:pt idx="83">
                  <c:v>0.0162</c:v>
                </c:pt>
                <c:pt idx="84">
                  <c:v>0.0073</c:v>
                </c:pt>
                <c:pt idx="85">
                  <c:v>0.0366</c:v>
                </c:pt>
                <c:pt idx="86">
                  <c:v>0.0098</c:v>
                </c:pt>
                <c:pt idx="87">
                  <c:v>0.024</c:v>
                </c:pt>
                <c:pt idx="88">
                  <c:v>0.0358</c:v>
                </c:pt>
                <c:pt idx="89">
                  <c:v>0.0197</c:v>
                </c:pt>
                <c:pt idx="90">
                  <c:v>0.0246</c:v>
                </c:pt>
                <c:pt idx="91">
                  <c:v>0.0695</c:v>
                </c:pt>
                <c:pt idx="92">
                  <c:v>0.0244</c:v>
                </c:pt>
                <c:pt idx="93">
                  <c:v>0.0341</c:v>
                </c:pt>
                <c:pt idx="94">
                  <c:v>0.0666</c:v>
                </c:pt>
                <c:pt idx="95">
                  <c:v>0.0339</c:v>
                </c:pt>
                <c:pt idx="96">
                  <c:v>0.0277</c:v>
                </c:pt>
                <c:pt idx="97">
                  <c:v>0.0409</c:v>
                </c:pt>
                <c:pt idx="98">
                  <c:v>0.0605</c:v>
                </c:pt>
                <c:pt idx="99">
                  <c:v>0.0436</c:v>
                </c:pt>
                <c:pt idx="100">
                  <c:v>0.0382</c:v>
                </c:pt>
                <c:pt idx="101">
                  <c:v>0.0381</c:v>
                </c:pt>
                <c:pt idx="102">
                  <c:v>0.0206</c:v>
                </c:pt>
                <c:pt idx="103">
                  <c:v>0.046</c:v>
                </c:pt>
                <c:pt idx="104">
                  <c:v>0.0284</c:v>
                </c:pt>
                <c:pt idx="105">
                  <c:v>0.0337</c:v>
                </c:pt>
                <c:pt idx="106">
                  <c:v>0.0493</c:v>
                </c:pt>
                <c:pt idx="107">
                  <c:v>0.0252</c:v>
                </c:pt>
                <c:pt idx="108">
                  <c:v>0.0154</c:v>
                </c:pt>
                <c:pt idx="109">
                  <c:v>-0.0161</c:v>
                </c:pt>
                <c:pt idx="110">
                  <c:v>0.1169</c:v>
                </c:pt>
                <c:pt idx="111">
                  <c:v>0.026</c:v>
                </c:pt>
                <c:pt idx="112">
                  <c:v>0.0437</c:v>
                </c:pt>
                <c:pt idx="113">
                  <c:v>0.0268</c:v>
                </c:pt>
                <c:pt idx="114">
                  <c:v>0.0161</c:v>
                </c:pt>
                <c:pt idx="115">
                  <c:v>0.0521</c:v>
                </c:pt>
                <c:pt idx="116">
                  <c:v>0.0418</c:v>
                </c:pt>
                <c:pt idx="117">
                  <c:v>0.0448</c:v>
                </c:pt>
                <c:pt idx="118">
                  <c:v>0.0263</c:v>
                </c:pt>
                <c:pt idx="119">
                  <c:v>0.0609</c:v>
                </c:pt>
                <c:pt idx="120">
                  <c:v>0.0184</c:v>
                </c:pt>
                <c:pt idx="121">
                  <c:v>0.0586</c:v>
                </c:pt>
                <c:pt idx="122">
                  <c:v>0.0358</c:v>
                </c:pt>
                <c:pt idx="123">
                  <c:v>0.0181</c:v>
                </c:pt>
                <c:pt idx="124">
                  <c:v>0.0403</c:v>
                </c:pt>
                <c:pt idx="125">
                  <c:v>0.0367</c:v>
                </c:pt>
                <c:pt idx="126">
                  <c:v>0.0269</c:v>
                </c:pt>
                <c:pt idx="127">
                  <c:v>0.0365</c:v>
                </c:pt>
                <c:pt idx="128">
                  <c:v>0.0332</c:v>
                </c:pt>
                <c:pt idx="129">
                  <c:v>0.0272</c:v>
                </c:pt>
                <c:pt idx="130">
                  <c:v>0.0041</c:v>
                </c:pt>
                <c:pt idx="131">
                  <c:v>0.0687</c:v>
                </c:pt>
                <c:pt idx="132">
                  <c:v>0.0225</c:v>
                </c:pt>
                <c:pt idx="133">
                  <c:v>0.0357</c:v>
                </c:pt>
                <c:pt idx="134">
                  <c:v>0.0349</c:v>
                </c:pt>
                <c:pt idx="135">
                  <c:v>0.0306</c:v>
                </c:pt>
                <c:pt idx="136">
                  <c:v>0.0273</c:v>
                </c:pt>
                <c:pt idx="137">
                  <c:v>0.0292</c:v>
                </c:pt>
                <c:pt idx="138">
                  <c:v>0.0267</c:v>
                </c:pt>
                <c:pt idx="139">
                  <c:v>0.0471</c:v>
                </c:pt>
                <c:pt idx="140">
                  <c:v>0.0302</c:v>
                </c:pt>
                <c:pt idx="141">
                  <c:v>0.0081</c:v>
                </c:pt>
                <c:pt idx="142">
                  <c:v>0.0578</c:v>
                </c:pt>
                <c:pt idx="143">
                  <c:v>0.0346</c:v>
                </c:pt>
                <c:pt idx="144">
                  <c:v>0.0124</c:v>
                </c:pt>
                <c:pt idx="145">
                  <c:v>0.0597</c:v>
                </c:pt>
                <c:pt idx="146">
                  <c:v>0.0561</c:v>
                </c:pt>
                <c:pt idx="147">
                  <c:v>0.0171</c:v>
                </c:pt>
                <c:pt idx="148">
                  <c:v>0.0541</c:v>
                </c:pt>
                <c:pt idx="149">
                  <c:v>0.0427</c:v>
                </c:pt>
                <c:pt idx="150">
                  <c:v>0.0262</c:v>
                </c:pt>
                <c:pt idx="151">
                  <c:v>0.083</c:v>
                </c:pt>
                <c:pt idx="152">
                  <c:v>0.052</c:v>
                </c:pt>
                <c:pt idx="153">
                  <c:v>0.0303</c:v>
                </c:pt>
                <c:pt idx="154">
                  <c:v>0.0646</c:v>
                </c:pt>
                <c:pt idx="155">
                  <c:v>0.0313</c:v>
                </c:pt>
                <c:pt idx="156">
                  <c:v>0.0306</c:v>
                </c:pt>
                <c:pt idx="157">
                  <c:v>0.0505</c:v>
                </c:pt>
                <c:pt idx="158">
                  <c:v>0.0139</c:v>
                </c:pt>
                <c:pt idx="159">
                  <c:v>0.0274</c:v>
                </c:pt>
                <c:pt idx="160">
                  <c:v>0.0369</c:v>
                </c:pt>
                <c:pt idx="161">
                  <c:v>0.0352</c:v>
                </c:pt>
                <c:pt idx="162">
                  <c:v>0.0576</c:v>
                </c:pt>
                <c:pt idx="163">
                  <c:v>0.0373</c:v>
                </c:pt>
                <c:pt idx="164">
                  <c:v>0.0697</c:v>
                </c:pt>
                <c:pt idx="165">
                  <c:v>0.0368</c:v>
                </c:pt>
                <c:pt idx="166">
                  <c:v>0.0305</c:v>
                </c:pt>
                <c:pt idx="167">
                  <c:v>0.0229</c:v>
                </c:pt>
                <c:pt idx="168">
                  <c:v>0.0173</c:v>
                </c:pt>
                <c:pt idx="169">
                  <c:v>0.0344</c:v>
                </c:pt>
                <c:pt idx="170">
                  <c:v>0.017</c:v>
                </c:pt>
                <c:pt idx="171">
                  <c:v>0.0291</c:v>
                </c:pt>
                <c:pt idx="172">
                  <c:v>0.0183</c:v>
                </c:pt>
                <c:pt idx="173">
                  <c:v>0.0283</c:v>
                </c:pt>
                <c:pt idx="174">
                  <c:v>0.0252</c:v>
                </c:pt>
                <c:pt idx="175">
                  <c:v>0.0364</c:v>
                </c:pt>
                <c:pt idx="176">
                  <c:v>0.1562</c:v>
                </c:pt>
                <c:pt idx="177">
                  <c:v>0.0663</c:v>
                </c:pt>
                <c:pt idx="178">
                  <c:v>0.0567</c:v>
                </c:pt>
                <c:pt idx="179">
                  <c:v>0.0438</c:v>
                </c:pt>
                <c:pt idx="180">
                  <c:v>0.0223</c:v>
                </c:pt>
                <c:pt idx="181">
                  <c:v>0.1532</c:v>
                </c:pt>
                <c:pt idx="182">
                  <c:v>0.0343</c:v>
                </c:pt>
                <c:pt idx="183">
                  <c:v>0.0333</c:v>
                </c:pt>
                <c:pt idx="184">
                  <c:v>0.0631</c:v>
                </c:pt>
                <c:pt idx="185">
                  <c:v>0.0453</c:v>
                </c:pt>
                <c:pt idx="186">
                  <c:v>0.1141</c:v>
                </c:pt>
                <c:pt idx="187">
                  <c:v>0.0321</c:v>
                </c:pt>
                <c:pt idx="188">
                  <c:v>0.0076</c:v>
                </c:pt>
                <c:pt idx="189">
                  <c:v>0.0557</c:v>
                </c:pt>
                <c:pt idx="190">
                  <c:v>0.078</c:v>
                </c:pt>
                <c:pt idx="191">
                  <c:v>0.0641</c:v>
                </c:pt>
                <c:pt idx="192">
                  <c:v>0.105</c:v>
                </c:pt>
                <c:pt idx="193">
                  <c:v>0.0784</c:v>
                </c:pt>
                <c:pt idx="194">
                  <c:v>0.1371</c:v>
                </c:pt>
                <c:pt idx="195">
                  <c:v>0.1032</c:v>
                </c:pt>
                <c:pt idx="196">
                  <c:v>0.0727</c:v>
                </c:pt>
                <c:pt idx="197">
                  <c:v>0.0817</c:v>
                </c:pt>
                <c:pt idx="198">
                  <c:v>0.1208</c:v>
                </c:pt>
                <c:pt idx="199">
                  <c:v>0.082</c:v>
                </c:pt>
                <c:pt idx="200">
                  <c:v>0.1276</c:v>
                </c:pt>
                <c:pt idx="201">
                  <c:v>0.1457</c:v>
                </c:pt>
                <c:pt idx="202">
                  <c:v>0.0814</c:v>
                </c:pt>
                <c:pt idx="203">
                  <c:v>0.0356</c:v>
                </c:pt>
                <c:pt idx="204">
                  <c:v>0.2283</c:v>
                </c:pt>
                <c:pt idx="205">
                  <c:v>0.0457</c:v>
                </c:pt>
                <c:pt idx="206">
                  <c:v>0.0897</c:v>
                </c:pt>
                <c:pt idx="207">
                  <c:v>0.3707</c:v>
                </c:pt>
                <c:pt idx="208">
                  <c:v>0.1053</c:v>
                </c:pt>
                <c:pt idx="209">
                  <c:v>0.0616</c:v>
                </c:pt>
                <c:pt idx="210">
                  <c:v>0.127</c:v>
                </c:pt>
                <c:pt idx="211">
                  <c:v>0.0819</c:v>
                </c:pt>
                <c:pt idx="212">
                  <c:v>0.0917</c:v>
                </c:pt>
                <c:pt idx="213">
                  <c:v>0.1535</c:v>
                </c:pt>
                <c:pt idx="214">
                  <c:v>0.0457</c:v>
                </c:pt>
                <c:pt idx="215">
                  <c:v>0.1213</c:v>
                </c:pt>
                <c:pt idx="216">
                  <c:v>0.1878</c:v>
                </c:pt>
                <c:pt idx="217">
                  <c:v>0.0572</c:v>
                </c:pt>
                <c:pt idx="218">
                  <c:v>0.087</c:v>
                </c:pt>
                <c:pt idx="219">
                  <c:v>0.1097</c:v>
                </c:pt>
                <c:pt idx="220">
                  <c:v>0.1002</c:v>
                </c:pt>
                <c:pt idx="221">
                  <c:v>0.128</c:v>
                </c:pt>
                <c:pt idx="222">
                  <c:v>0.094</c:v>
                </c:pt>
                <c:pt idx="223">
                  <c:v>0.0856</c:v>
                </c:pt>
                <c:pt idx="224">
                  <c:v>0.0499</c:v>
                </c:pt>
                <c:pt idx="225">
                  <c:v>0.0956</c:v>
                </c:pt>
                <c:pt idx="226">
                  <c:v>0.0586</c:v>
                </c:pt>
                <c:pt idx="227">
                  <c:v>0.1022</c:v>
                </c:pt>
                <c:pt idx="228">
                  <c:v>0.0859</c:v>
                </c:pt>
                <c:pt idx="229">
                  <c:v>0.0769</c:v>
                </c:pt>
                <c:pt idx="230">
                  <c:v>0.1047</c:v>
                </c:pt>
                <c:pt idx="231">
                  <c:v>-0.0069</c:v>
                </c:pt>
                <c:pt idx="232">
                  <c:v>0.148</c:v>
                </c:pt>
                <c:pt idx="233">
                  <c:v>0.0843</c:v>
                </c:pt>
                <c:pt idx="234">
                  <c:v>0.0673</c:v>
                </c:pt>
                <c:pt idx="235">
                  <c:v>0.0654</c:v>
                </c:pt>
                <c:pt idx="236">
                  <c:v>0.0479</c:v>
                </c:pt>
                <c:pt idx="237">
                  <c:v>0.0544</c:v>
                </c:pt>
                <c:pt idx="238">
                  <c:v>0.0821</c:v>
                </c:pt>
                <c:pt idx="239">
                  <c:v>0.0813</c:v>
                </c:pt>
                <c:pt idx="240">
                  <c:v>0.088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UCI15_Pool!D3</c:f>
              <c:strCache>
                <c:ptCount val="1"/>
                <c:pt idx="0">
                  <c:v>12m trailing mean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UCI15_Pool!$A$4:$A$244</c:f>
              <c:strCache>
                <c:ptCount val="241"/>
                <c:pt idx="0">
                  <c:v>31-May-2006</c:v>
                </c:pt>
                <c:pt idx="1">
                  <c:v>30-Jun-2006</c:v>
                </c:pt>
                <c:pt idx="2">
                  <c:v>31-Jul-2006</c:v>
                </c:pt>
                <c:pt idx="3">
                  <c:v>31-Aug-2006</c:v>
                </c:pt>
                <c:pt idx="4">
                  <c:v>30-Sep-2006</c:v>
                </c:pt>
                <c:pt idx="5">
                  <c:v>31-Oct-2006</c:v>
                </c:pt>
                <c:pt idx="6">
                  <c:v>30-Nov-2006</c:v>
                </c:pt>
                <c:pt idx="7">
                  <c:v>31-Dec-2006</c:v>
                </c:pt>
                <c:pt idx="8">
                  <c:v>31-Jan-2007</c:v>
                </c:pt>
                <c:pt idx="9">
                  <c:v>28-Feb-2007</c:v>
                </c:pt>
                <c:pt idx="10">
                  <c:v>31-Mar-2007</c:v>
                </c:pt>
                <c:pt idx="11">
                  <c:v>30-Apr-2007</c:v>
                </c:pt>
                <c:pt idx="12">
                  <c:v>31-May-2007</c:v>
                </c:pt>
                <c:pt idx="13">
                  <c:v>30-Jun-2007</c:v>
                </c:pt>
                <c:pt idx="14">
                  <c:v>31-Jul-2007</c:v>
                </c:pt>
                <c:pt idx="15">
                  <c:v>31-Aug-2007</c:v>
                </c:pt>
                <c:pt idx="16">
                  <c:v>30-Sep-2007</c:v>
                </c:pt>
                <c:pt idx="17">
                  <c:v>31-Oct-2007</c:v>
                </c:pt>
                <c:pt idx="18">
                  <c:v>30-Nov-2007</c:v>
                </c:pt>
                <c:pt idx="19">
                  <c:v>31-Dec-2007</c:v>
                </c:pt>
                <c:pt idx="20">
                  <c:v>31-Jan-2008</c:v>
                </c:pt>
                <c:pt idx="21">
                  <c:v>29-Feb-2008</c:v>
                </c:pt>
                <c:pt idx="22">
                  <c:v>31-Mar-2008</c:v>
                </c:pt>
                <c:pt idx="23">
                  <c:v>30-Apr-2008</c:v>
                </c:pt>
                <c:pt idx="24">
                  <c:v>31-May-2008</c:v>
                </c:pt>
                <c:pt idx="25">
                  <c:v>30-Jun-2008</c:v>
                </c:pt>
                <c:pt idx="26">
                  <c:v>31-Jul-2008</c:v>
                </c:pt>
                <c:pt idx="27">
                  <c:v>31-Aug-2008</c:v>
                </c:pt>
                <c:pt idx="28">
                  <c:v>30-Sep-2008</c:v>
                </c:pt>
                <c:pt idx="29">
                  <c:v>31-Oct-2008</c:v>
                </c:pt>
                <c:pt idx="30">
                  <c:v>30-Nov-2008</c:v>
                </c:pt>
                <c:pt idx="31">
                  <c:v>31-Dec-2008</c:v>
                </c:pt>
                <c:pt idx="32">
                  <c:v>31-Jan-2009</c:v>
                </c:pt>
                <c:pt idx="33">
                  <c:v>28-Feb-2009</c:v>
                </c:pt>
                <c:pt idx="34">
                  <c:v>31-Mar-2009</c:v>
                </c:pt>
                <c:pt idx="35">
                  <c:v>30-Apr-2009</c:v>
                </c:pt>
                <c:pt idx="36">
                  <c:v>31-May-2009</c:v>
                </c:pt>
                <c:pt idx="37">
                  <c:v>30-Jun-2009</c:v>
                </c:pt>
                <c:pt idx="38">
                  <c:v>31-Jul-2009</c:v>
                </c:pt>
                <c:pt idx="39">
                  <c:v>31-Aug-2009</c:v>
                </c:pt>
                <c:pt idx="40">
                  <c:v>30-Sep-2009</c:v>
                </c:pt>
                <c:pt idx="41">
                  <c:v>31-Oct-2009</c:v>
                </c:pt>
                <c:pt idx="42">
                  <c:v>30-Nov-2009</c:v>
                </c:pt>
                <c:pt idx="43">
                  <c:v>31-Dec-2009</c:v>
                </c:pt>
                <c:pt idx="44">
                  <c:v>31-Jan-2010</c:v>
                </c:pt>
                <c:pt idx="45">
                  <c:v>28-Feb-2010</c:v>
                </c:pt>
                <c:pt idx="46">
                  <c:v>31-Mar-2010</c:v>
                </c:pt>
                <c:pt idx="47">
                  <c:v>30-Apr-2010</c:v>
                </c:pt>
                <c:pt idx="48">
                  <c:v>31-May-2010</c:v>
                </c:pt>
                <c:pt idx="49">
                  <c:v>30-Jun-2010</c:v>
                </c:pt>
                <c:pt idx="50">
                  <c:v>31-Jul-2010</c:v>
                </c:pt>
                <c:pt idx="51">
                  <c:v>31-Aug-2010</c:v>
                </c:pt>
                <c:pt idx="52">
                  <c:v>30-Sep-2010</c:v>
                </c:pt>
                <c:pt idx="53">
                  <c:v>31-Oct-2010</c:v>
                </c:pt>
                <c:pt idx="54">
                  <c:v>30-Nov-2010</c:v>
                </c:pt>
                <c:pt idx="55">
                  <c:v>31-Dec-2010</c:v>
                </c:pt>
                <c:pt idx="56">
                  <c:v>31-Jan-2011</c:v>
                </c:pt>
                <c:pt idx="57">
                  <c:v>28-Feb-2011</c:v>
                </c:pt>
                <c:pt idx="58">
                  <c:v>31-Mar-2011</c:v>
                </c:pt>
                <c:pt idx="59">
                  <c:v>30-Apr-2011</c:v>
                </c:pt>
                <c:pt idx="60">
                  <c:v>31-May-2011</c:v>
                </c:pt>
                <c:pt idx="61">
                  <c:v>30-Jun-2011</c:v>
                </c:pt>
                <c:pt idx="62">
                  <c:v>31-Jul-2011</c:v>
                </c:pt>
                <c:pt idx="63">
                  <c:v>31-Aug-2011</c:v>
                </c:pt>
                <c:pt idx="64">
                  <c:v>30-Sep-2011</c:v>
                </c:pt>
                <c:pt idx="65">
                  <c:v>31-Oct-2011</c:v>
                </c:pt>
                <c:pt idx="66">
                  <c:v>30-Nov-2011</c:v>
                </c:pt>
                <c:pt idx="67">
                  <c:v>31-Dec-2011</c:v>
                </c:pt>
                <c:pt idx="68">
                  <c:v>31-Jan-2012</c:v>
                </c:pt>
                <c:pt idx="69">
                  <c:v>29-Feb-2012</c:v>
                </c:pt>
                <c:pt idx="70">
                  <c:v>31-Mar-2012</c:v>
                </c:pt>
                <c:pt idx="71">
                  <c:v>30-Apr-2012</c:v>
                </c:pt>
                <c:pt idx="72">
                  <c:v>31-May-2012</c:v>
                </c:pt>
                <c:pt idx="73">
                  <c:v>30-Jun-2012</c:v>
                </c:pt>
                <c:pt idx="74">
                  <c:v>31-Jul-2012</c:v>
                </c:pt>
                <c:pt idx="75">
                  <c:v>31-Aug-2012</c:v>
                </c:pt>
                <c:pt idx="76">
                  <c:v>30-Sep-2012</c:v>
                </c:pt>
                <c:pt idx="77">
                  <c:v>31-Oct-2012</c:v>
                </c:pt>
                <c:pt idx="78">
                  <c:v>30-Nov-2012</c:v>
                </c:pt>
                <c:pt idx="79">
                  <c:v>31-Dec-2012</c:v>
                </c:pt>
                <c:pt idx="80">
                  <c:v>31-Jan-2013</c:v>
                </c:pt>
                <c:pt idx="81">
                  <c:v>28-Feb-2013</c:v>
                </c:pt>
                <c:pt idx="82">
                  <c:v>31-Mar-2013</c:v>
                </c:pt>
                <c:pt idx="83">
                  <c:v>30-Apr-2013</c:v>
                </c:pt>
                <c:pt idx="84">
                  <c:v>31-May-2013</c:v>
                </c:pt>
                <c:pt idx="85">
                  <c:v>30-Jun-2013</c:v>
                </c:pt>
                <c:pt idx="86">
                  <c:v>31-Jul-2013</c:v>
                </c:pt>
                <c:pt idx="87">
                  <c:v>31-Aug-2013</c:v>
                </c:pt>
                <c:pt idx="88">
                  <c:v>30-Sep-2013</c:v>
                </c:pt>
                <c:pt idx="89">
                  <c:v>31-Oct-2013</c:v>
                </c:pt>
                <c:pt idx="90">
                  <c:v>30-Nov-2013</c:v>
                </c:pt>
                <c:pt idx="91">
                  <c:v>31-Dec-2013</c:v>
                </c:pt>
                <c:pt idx="92">
                  <c:v>31-Jan-2014</c:v>
                </c:pt>
                <c:pt idx="93">
                  <c:v>28-Feb-2014</c:v>
                </c:pt>
                <c:pt idx="94">
                  <c:v>31-Mar-2014</c:v>
                </c:pt>
                <c:pt idx="95">
                  <c:v>30-Apr-2014</c:v>
                </c:pt>
                <c:pt idx="96">
                  <c:v>31-May-2014</c:v>
                </c:pt>
                <c:pt idx="97">
                  <c:v>30-Jun-2014</c:v>
                </c:pt>
                <c:pt idx="98">
                  <c:v>31-Jul-2014</c:v>
                </c:pt>
                <c:pt idx="99">
                  <c:v>31-Aug-2014</c:v>
                </c:pt>
                <c:pt idx="100">
                  <c:v>30-Sep-2014</c:v>
                </c:pt>
                <c:pt idx="101">
                  <c:v>31-Oct-2014</c:v>
                </c:pt>
                <c:pt idx="102">
                  <c:v>30-Nov-2014</c:v>
                </c:pt>
                <c:pt idx="103">
                  <c:v>31-Dec-2014</c:v>
                </c:pt>
                <c:pt idx="104">
                  <c:v>31-Jan-2015</c:v>
                </c:pt>
                <c:pt idx="105">
                  <c:v>28-Feb-2015</c:v>
                </c:pt>
                <c:pt idx="106">
                  <c:v>31-Mar-2015</c:v>
                </c:pt>
                <c:pt idx="107">
                  <c:v>30-Apr-2015</c:v>
                </c:pt>
                <c:pt idx="108">
                  <c:v>31-May-2015</c:v>
                </c:pt>
                <c:pt idx="109">
                  <c:v>30-Jun-2015</c:v>
                </c:pt>
                <c:pt idx="110">
                  <c:v>31-Jul-2015</c:v>
                </c:pt>
                <c:pt idx="111">
                  <c:v>31-Aug-2015</c:v>
                </c:pt>
                <c:pt idx="112">
                  <c:v>30-Sep-2015</c:v>
                </c:pt>
                <c:pt idx="113">
                  <c:v>31-Oct-2015</c:v>
                </c:pt>
                <c:pt idx="114">
                  <c:v>30-Nov-2015</c:v>
                </c:pt>
                <c:pt idx="115">
                  <c:v>31-Dec-2015</c:v>
                </c:pt>
                <c:pt idx="116">
                  <c:v>31-Jan-2016</c:v>
                </c:pt>
                <c:pt idx="117">
                  <c:v>29-Feb-2016</c:v>
                </c:pt>
                <c:pt idx="118">
                  <c:v>31-Mar-2016</c:v>
                </c:pt>
                <c:pt idx="119">
                  <c:v>30-Apr-2016</c:v>
                </c:pt>
                <c:pt idx="120">
                  <c:v>31-May-2016</c:v>
                </c:pt>
                <c:pt idx="121">
                  <c:v>30-Jun-2016</c:v>
                </c:pt>
                <c:pt idx="122">
                  <c:v>31-Jul-2016</c:v>
                </c:pt>
                <c:pt idx="123">
                  <c:v>31-Aug-2016</c:v>
                </c:pt>
                <c:pt idx="124">
                  <c:v>30-Sep-2016</c:v>
                </c:pt>
                <c:pt idx="125">
                  <c:v>31-Oct-2016</c:v>
                </c:pt>
                <c:pt idx="126">
                  <c:v>30-Nov-2016</c:v>
                </c:pt>
                <c:pt idx="127">
                  <c:v>31-Dec-2016</c:v>
                </c:pt>
                <c:pt idx="128">
                  <c:v>31-Jan-2017</c:v>
                </c:pt>
                <c:pt idx="129">
                  <c:v>28-Feb-2017</c:v>
                </c:pt>
                <c:pt idx="130">
                  <c:v>31-Mar-2017</c:v>
                </c:pt>
                <c:pt idx="131">
                  <c:v>30-Apr-2017</c:v>
                </c:pt>
                <c:pt idx="132">
                  <c:v>31-May-2017</c:v>
                </c:pt>
                <c:pt idx="133">
                  <c:v>30-Jun-2017</c:v>
                </c:pt>
                <c:pt idx="134">
                  <c:v>31-Jul-2017</c:v>
                </c:pt>
                <c:pt idx="135">
                  <c:v>31-Aug-2017</c:v>
                </c:pt>
                <c:pt idx="136">
                  <c:v>30-Sep-2017</c:v>
                </c:pt>
                <c:pt idx="137">
                  <c:v>31-Oct-2017</c:v>
                </c:pt>
                <c:pt idx="138">
                  <c:v>30-Nov-2017</c:v>
                </c:pt>
                <c:pt idx="139">
                  <c:v>31-Dec-2017</c:v>
                </c:pt>
                <c:pt idx="140">
                  <c:v>31-Jan-2018</c:v>
                </c:pt>
                <c:pt idx="141">
                  <c:v>28-Feb-2018</c:v>
                </c:pt>
                <c:pt idx="142">
                  <c:v>31-Mar-2018</c:v>
                </c:pt>
                <c:pt idx="143">
                  <c:v>30-Apr-2018</c:v>
                </c:pt>
                <c:pt idx="144">
                  <c:v>31-May-2018</c:v>
                </c:pt>
                <c:pt idx="145">
                  <c:v>30-Jun-2018</c:v>
                </c:pt>
                <c:pt idx="146">
                  <c:v>31-Jul-2018</c:v>
                </c:pt>
                <c:pt idx="147">
                  <c:v>31-Aug-2018</c:v>
                </c:pt>
                <c:pt idx="148">
                  <c:v>30-Sep-2018</c:v>
                </c:pt>
                <c:pt idx="149">
                  <c:v>31-Oct-2018</c:v>
                </c:pt>
                <c:pt idx="150">
                  <c:v>30-Nov-2018</c:v>
                </c:pt>
                <c:pt idx="151">
                  <c:v>31-Dec-2018</c:v>
                </c:pt>
                <c:pt idx="152">
                  <c:v>31-Jan-2019</c:v>
                </c:pt>
                <c:pt idx="153">
                  <c:v>28-Feb-2019</c:v>
                </c:pt>
                <c:pt idx="154">
                  <c:v>31-Mar-2019</c:v>
                </c:pt>
                <c:pt idx="155">
                  <c:v>30-Apr-2019</c:v>
                </c:pt>
                <c:pt idx="156">
                  <c:v>31-May-2019</c:v>
                </c:pt>
                <c:pt idx="157">
                  <c:v>30-Jun-2019</c:v>
                </c:pt>
                <c:pt idx="158">
                  <c:v>31-Jul-2019</c:v>
                </c:pt>
                <c:pt idx="159">
                  <c:v>31-Aug-2019</c:v>
                </c:pt>
                <c:pt idx="160">
                  <c:v>30-Sep-2019</c:v>
                </c:pt>
                <c:pt idx="161">
                  <c:v>31-Oct-2019</c:v>
                </c:pt>
                <c:pt idx="162">
                  <c:v>30-Nov-2019</c:v>
                </c:pt>
                <c:pt idx="163">
                  <c:v>31-Dec-2019</c:v>
                </c:pt>
                <c:pt idx="164">
                  <c:v>31-Jan-2020</c:v>
                </c:pt>
                <c:pt idx="165">
                  <c:v>29-Feb-2020</c:v>
                </c:pt>
                <c:pt idx="166">
                  <c:v>31-Mar-2020</c:v>
                </c:pt>
                <c:pt idx="167">
                  <c:v>30-Apr-2020</c:v>
                </c:pt>
                <c:pt idx="168">
                  <c:v>31-May-2020</c:v>
                </c:pt>
                <c:pt idx="169">
                  <c:v>30-Jun-2020</c:v>
                </c:pt>
                <c:pt idx="170">
                  <c:v>31-Jul-2020</c:v>
                </c:pt>
                <c:pt idx="171">
                  <c:v>31-Aug-2020</c:v>
                </c:pt>
                <c:pt idx="172">
                  <c:v>30-Sep-2020</c:v>
                </c:pt>
                <c:pt idx="173">
                  <c:v>31-Oct-2020</c:v>
                </c:pt>
                <c:pt idx="174">
                  <c:v>30-Nov-2020</c:v>
                </c:pt>
                <c:pt idx="175">
                  <c:v>31-Dec-2020</c:v>
                </c:pt>
                <c:pt idx="176">
                  <c:v>31-Jan-2021</c:v>
                </c:pt>
                <c:pt idx="177">
                  <c:v>28-Feb-2021</c:v>
                </c:pt>
                <c:pt idx="178">
                  <c:v>31-Mar-2021</c:v>
                </c:pt>
                <c:pt idx="179">
                  <c:v>30-Apr-2021</c:v>
                </c:pt>
                <c:pt idx="180">
                  <c:v>31-May-2021</c:v>
                </c:pt>
                <c:pt idx="181">
                  <c:v>30-Jun-2021</c:v>
                </c:pt>
                <c:pt idx="182">
                  <c:v>31-Jul-2021</c:v>
                </c:pt>
                <c:pt idx="183">
                  <c:v>31-Aug-2021</c:v>
                </c:pt>
                <c:pt idx="184">
                  <c:v>30-Sep-2021</c:v>
                </c:pt>
                <c:pt idx="185">
                  <c:v>31-Oct-2021</c:v>
                </c:pt>
                <c:pt idx="186">
                  <c:v>30-Nov-2021</c:v>
                </c:pt>
                <c:pt idx="187">
                  <c:v>31-Dec-2021</c:v>
                </c:pt>
                <c:pt idx="188">
                  <c:v>31-Jan-2022</c:v>
                </c:pt>
                <c:pt idx="189">
                  <c:v>28-Feb-2022</c:v>
                </c:pt>
                <c:pt idx="190">
                  <c:v>31-Mar-2022</c:v>
                </c:pt>
                <c:pt idx="191">
                  <c:v>30-Apr-2022</c:v>
                </c:pt>
                <c:pt idx="192">
                  <c:v>31-May-2022</c:v>
                </c:pt>
                <c:pt idx="193">
                  <c:v>30-Jun-2022</c:v>
                </c:pt>
                <c:pt idx="194">
                  <c:v>31-Jul-2022</c:v>
                </c:pt>
                <c:pt idx="195">
                  <c:v>31-Aug-2022</c:v>
                </c:pt>
                <c:pt idx="196">
                  <c:v>30-Sep-2022</c:v>
                </c:pt>
                <c:pt idx="197">
                  <c:v>31-Oct-2022</c:v>
                </c:pt>
                <c:pt idx="198">
                  <c:v>30-Nov-2022</c:v>
                </c:pt>
                <c:pt idx="199">
                  <c:v>31-Dec-2022</c:v>
                </c:pt>
                <c:pt idx="200">
                  <c:v>31-Jan-2023</c:v>
                </c:pt>
                <c:pt idx="201">
                  <c:v>28-Feb-2023</c:v>
                </c:pt>
                <c:pt idx="202">
                  <c:v>31-Mar-2023</c:v>
                </c:pt>
                <c:pt idx="203">
                  <c:v>30-Apr-2023</c:v>
                </c:pt>
                <c:pt idx="204">
                  <c:v>31-May-2023</c:v>
                </c:pt>
                <c:pt idx="205">
                  <c:v>30-Jun-2023</c:v>
                </c:pt>
                <c:pt idx="206">
                  <c:v>31-Jul-2023</c:v>
                </c:pt>
                <c:pt idx="207">
                  <c:v>31-Aug-2023</c:v>
                </c:pt>
                <c:pt idx="208">
                  <c:v>30-Sep-2023</c:v>
                </c:pt>
                <c:pt idx="209">
                  <c:v>31-Oct-2023</c:v>
                </c:pt>
                <c:pt idx="210">
                  <c:v>30-Nov-2023</c:v>
                </c:pt>
                <c:pt idx="211">
                  <c:v>31-Dec-2023</c:v>
                </c:pt>
                <c:pt idx="212">
                  <c:v>31-Jan-2024</c:v>
                </c:pt>
                <c:pt idx="213">
                  <c:v>29-Feb-2024</c:v>
                </c:pt>
                <c:pt idx="214">
                  <c:v>31-Mar-2024</c:v>
                </c:pt>
                <c:pt idx="215">
                  <c:v>30-Apr-2024</c:v>
                </c:pt>
                <c:pt idx="216">
                  <c:v>31-May-2024</c:v>
                </c:pt>
                <c:pt idx="217">
                  <c:v>30-Jun-2024</c:v>
                </c:pt>
                <c:pt idx="218">
                  <c:v>31-Jul-2024</c:v>
                </c:pt>
                <c:pt idx="219">
                  <c:v>31-Aug-2024</c:v>
                </c:pt>
                <c:pt idx="220">
                  <c:v>30-Sep-2024</c:v>
                </c:pt>
                <c:pt idx="221">
                  <c:v>31-Oct-2024</c:v>
                </c:pt>
                <c:pt idx="222">
                  <c:v>30-Nov-2024</c:v>
                </c:pt>
                <c:pt idx="223">
                  <c:v>31-Dec-2024</c:v>
                </c:pt>
                <c:pt idx="224">
                  <c:v>31-Jan-2025</c:v>
                </c:pt>
                <c:pt idx="225">
                  <c:v>28-Feb-2025</c:v>
                </c:pt>
                <c:pt idx="226">
                  <c:v>31-Mar-2025</c:v>
                </c:pt>
                <c:pt idx="227">
                  <c:v>30-Apr-2025</c:v>
                </c:pt>
                <c:pt idx="228">
                  <c:v>31-May-2025</c:v>
                </c:pt>
                <c:pt idx="229">
                  <c:v>30-Jun-2025</c:v>
                </c:pt>
                <c:pt idx="230">
                  <c:v>31-Jul-2025</c:v>
                </c:pt>
                <c:pt idx="231">
                  <c:v>31-Aug-2025</c:v>
                </c:pt>
                <c:pt idx="232">
                  <c:v>30-Sep-2025</c:v>
                </c:pt>
                <c:pt idx="233">
                  <c:v>31-Oct-2025</c:v>
                </c:pt>
                <c:pt idx="234">
                  <c:v>30-Nov-2025</c:v>
                </c:pt>
                <c:pt idx="235">
                  <c:v>31-Dec-2025</c:v>
                </c:pt>
                <c:pt idx="236">
                  <c:v>31-Jan-2026</c:v>
                </c:pt>
                <c:pt idx="237">
                  <c:v>28-Feb-2026</c:v>
                </c:pt>
                <c:pt idx="238">
                  <c:v>31-Mar-2026</c:v>
                </c:pt>
                <c:pt idx="239">
                  <c:v>30-Apr-2026</c:v>
                </c:pt>
                <c:pt idx="240">
                  <c:v>31-May-2026</c:v>
                </c:pt>
              </c:strCache>
            </c:strRef>
          </c:cat>
          <c:val>
            <c:numRef>
              <c:f>UCI15_Pool!$D$4:$D$244</c:f>
              <c:numCache>
                <c:formatCode>0.00%</c:formatCode>
                <c:ptCount val="241"/>
                <c:pt idx="11">
                  <c:v>0.170333333333333</c:v>
                </c:pt>
                <c:pt idx="12">
                  <c:v>0.155683333333333</c:v>
                </c:pt>
                <c:pt idx="13">
                  <c:v>0.15395</c:v>
                </c:pt>
                <c:pt idx="14">
                  <c:v>0.154025</c:v>
                </c:pt>
                <c:pt idx="15">
                  <c:v>0.154</c:v>
                </c:pt>
                <c:pt idx="16">
                  <c:v>0.154833333333333</c:v>
                </c:pt>
                <c:pt idx="17">
                  <c:v>0.148766666666667</c:v>
                </c:pt>
                <c:pt idx="18">
                  <c:v>0.146483333333333</c:v>
                </c:pt>
                <c:pt idx="19">
                  <c:v>0.140933333333333</c:v>
                </c:pt>
                <c:pt idx="20">
                  <c:v>0.139666666666667</c:v>
                </c:pt>
                <c:pt idx="21">
                  <c:v>0.13335</c:v>
                </c:pt>
                <c:pt idx="22">
                  <c:v>0.122116666666667</c:v>
                </c:pt>
                <c:pt idx="23">
                  <c:v>0.1154</c:v>
                </c:pt>
                <c:pt idx="24">
                  <c:v>0.108125</c:v>
                </c:pt>
                <c:pt idx="25">
                  <c:v>0.100083333333333</c:v>
                </c:pt>
                <c:pt idx="26">
                  <c:v>0.0888666666666667</c:v>
                </c:pt>
                <c:pt idx="27">
                  <c:v>0.0782583333333333</c:v>
                </c:pt>
                <c:pt idx="28">
                  <c:v>0.0685666666666667</c:v>
                </c:pt>
                <c:pt idx="29">
                  <c:v>0.0720833333333333</c:v>
                </c:pt>
                <c:pt idx="30">
                  <c:v>0.06715</c:v>
                </c:pt>
                <c:pt idx="31">
                  <c:v>0.0639416666666667</c:v>
                </c:pt>
                <c:pt idx="32">
                  <c:v>0.05915</c:v>
                </c:pt>
                <c:pt idx="33">
                  <c:v>0.056525</c:v>
                </c:pt>
                <c:pt idx="34">
                  <c:v>0.0562166666666667</c:v>
                </c:pt>
                <c:pt idx="35">
                  <c:v>0.0543916666666667</c:v>
                </c:pt>
                <c:pt idx="36">
                  <c:v>0.0533833333333333</c:v>
                </c:pt>
                <c:pt idx="37">
                  <c:v>0.0538333333333333</c:v>
                </c:pt>
                <c:pt idx="38">
                  <c:v>0.0548166666666667</c:v>
                </c:pt>
                <c:pt idx="39">
                  <c:v>0.0617833333333333</c:v>
                </c:pt>
                <c:pt idx="40">
                  <c:v>0.0643</c:v>
                </c:pt>
                <c:pt idx="41">
                  <c:v>0.0588166666666667</c:v>
                </c:pt>
                <c:pt idx="42">
                  <c:v>0.0598916666666667</c:v>
                </c:pt>
                <c:pt idx="43">
                  <c:v>0.0606916666666667</c:v>
                </c:pt>
                <c:pt idx="44">
                  <c:v>0.0646666666666667</c:v>
                </c:pt>
                <c:pt idx="45">
                  <c:v>0.0649833333333333</c:v>
                </c:pt>
                <c:pt idx="46">
                  <c:v>0.0648333333333333</c:v>
                </c:pt>
                <c:pt idx="47">
                  <c:v>0.06535</c:v>
                </c:pt>
                <c:pt idx="48">
                  <c:v>0.0651416666666667</c:v>
                </c:pt>
                <c:pt idx="49">
                  <c:v>0.0663666666666667</c:v>
                </c:pt>
                <c:pt idx="50">
                  <c:v>0.0688166666666667</c:v>
                </c:pt>
                <c:pt idx="51">
                  <c:v>0.0696666666666667</c:v>
                </c:pt>
                <c:pt idx="52">
                  <c:v>0.0711333333333333</c:v>
                </c:pt>
                <c:pt idx="53">
                  <c:v>0.0703416666666667</c:v>
                </c:pt>
                <c:pt idx="54">
                  <c:v>0.0718916666666667</c:v>
                </c:pt>
                <c:pt idx="55">
                  <c:v>0.0699083333333333</c:v>
                </c:pt>
                <c:pt idx="56">
                  <c:v>0.0679916666666667</c:v>
                </c:pt>
                <c:pt idx="57">
                  <c:v>0.06685</c:v>
                </c:pt>
                <c:pt idx="58">
                  <c:v>0.0659166666666667</c:v>
                </c:pt>
                <c:pt idx="59">
                  <c:v>0.0651583333333333</c:v>
                </c:pt>
                <c:pt idx="60">
                  <c:v>0.0632166666666667</c:v>
                </c:pt>
                <c:pt idx="61">
                  <c:v>0.0585166666666667</c:v>
                </c:pt>
                <c:pt idx="62">
                  <c:v>0.0578083333333333</c:v>
                </c:pt>
                <c:pt idx="63">
                  <c:v>0.0532</c:v>
                </c:pt>
                <c:pt idx="64">
                  <c:v>0.047175</c:v>
                </c:pt>
                <c:pt idx="65">
                  <c:v>0.044975</c:v>
                </c:pt>
                <c:pt idx="66">
                  <c:v>0.0427083333333333</c:v>
                </c:pt>
                <c:pt idx="67">
                  <c:v>0.0395166666666667</c:v>
                </c:pt>
                <c:pt idx="68">
                  <c:v>0.0365416666666667</c:v>
                </c:pt>
                <c:pt idx="69">
                  <c:v>0.0375583333333333</c:v>
                </c:pt>
                <c:pt idx="70">
                  <c:v>0.0327666666666667</c:v>
                </c:pt>
                <c:pt idx="71">
                  <c:v>0.0306</c:v>
                </c:pt>
                <c:pt idx="72">
                  <c:v>0.031225</c:v>
                </c:pt>
                <c:pt idx="73">
                  <c:v>0.0286166666666667</c:v>
                </c:pt>
                <c:pt idx="74">
                  <c:v>0.0266583333333333</c:v>
                </c:pt>
                <c:pt idx="75">
                  <c:v>0.0248416666666667</c:v>
                </c:pt>
                <c:pt idx="76">
                  <c:v>0.0266</c:v>
                </c:pt>
                <c:pt idx="77">
                  <c:v>0.0246583333333333</c:v>
                </c:pt>
                <c:pt idx="78">
                  <c:v>0.0206416666666667</c:v>
                </c:pt>
                <c:pt idx="79">
                  <c:v>0.0241333333333333</c:v>
                </c:pt>
                <c:pt idx="80">
                  <c:v>0.0231</c:v>
                </c:pt>
                <c:pt idx="81">
                  <c:v>0.0196333333333333</c:v>
                </c:pt>
                <c:pt idx="82">
                  <c:v>0.0234833333333333</c:v>
                </c:pt>
                <c:pt idx="83">
                  <c:v>0.0234</c:v>
                </c:pt>
                <c:pt idx="84">
                  <c:v>0.0205</c:v>
                </c:pt>
                <c:pt idx="85">
                  <c:v>0.0226833333333333</c:v>
                </c:pt>
                <c:pt idx="86">
                  <c:v>0.0178583333333333</c:v>
                </c:pt>
                <c:pt idx="87">
                  <c:v>0.0219666666666667</c:v>
                </c:pt>
                <c:pt idx="88">
                  <c:v>0.0226583333333333</c:v>
                </c:pt>
                <c:pt idx="89">
                  <c:v>0.0230333333333333</c:v>
                </c:pt>
                <c:pt idx="90">
                  <c:v>0.0246833333333333</c:v>
                </c:pt>
                <c:pt idx="91">
                  <c:v>0.0265166666666667</c:v>
                </c:pt>
                <c:pt idx="92">
                  <c:v>0.0272416666666667</c:v>
                </c:pt>
                <c:pt idx="93">
                  <c:v>0.0290666666666667</c:v>
                </c:pt>
                <c:pt idx="94">
                  <c:v>0.0307166666666667</c:v>
                </c:pt>
                <c:pt idx="95">
                  <c:v>0.0321916666666667</c:v>
                </c:pt>
                <c:pt idx="96">
                  <c:v>0.0338916666666667</c:v>
                </c:pt>
                <c:pt idx="97">
                  <c:v>0.03425</c:v>
                </c:pt>
                <c:pt idx="98">
                  <c:v>0.038475</c:v>
                </c:pt>
                <c:pt idx="99">
                  <c:v>0.0401083333333333</c:v>
                </c:pt>
                <c:pt idx="100">
                  <c:v>0.0403083333333333</c:v>
                </c:pt>
                <c:pt idx="101">
                  <c:v>0.0418416666666667</c:v>
                </c:pt>
                <c:pt idx="102">
                  <c:v>0.0415083333333333</c:v>
                </c:pt>
                <c:pt idx="103">
                  <c:v>0.03955</c:v>
                </c:pt>
                <c:pt idx="104">
                  <c:v>0.0398833333333333</c:v>
                </c:pt>
                <c:pt idx="105">
                  <c:v>0.03985</c:v>
                </c:pt>
                <c:pt idx="106">
                  <c:v>0.0384083333333333</c:v>
                </c:pt>
                <c:pt idx="107">
                  <c:v>0.0376833333333333</c:v>
                </c:pt>
                <c:pt idx="108">
                  <c:v>0.0366583333333333</c:v>
                </c:pt>
                <c:pt idx="109">
                  <c:v>0.0319083333333333</c:v>
                </c:pt>
                <c:pt idx="110">
                  <c:v>0.0366083333333333</c:v>
                </c:pt>
                <c:pt idx="111">
                  <c:v>0.0351416666666667</c:v>
                </c:pt>
                <c:pt idx="112">
                  <c:v>0.0356</c:v>
                </c:pt>
                <c:pt idx="113">
                  <c:v>0.0346583333333333</c:v>
                </c:pt>
                <c:pt idx="114">
                  <c:v>0.0342833333333333</c:v>
                </c:pt>
                <c:pt idx="115">
                  <c:v>0.0347916666666667</c:v>
                </c:pt>
                <c:pt idx="116">
                  <c:v>0.0359083333333333</c:v>
                </c:pt>
                <c:pt idx="117">
                  <c:v>0.0368333333333333</c:v>
                </c:pt>
                <c:pt idx="118">
                  <c:v>0.0349166666666667</c:v>
                </c:pt>
                <c:pt idx="119">
                  <c:v>0.0378916666666667</c:v>
                </c:pt>
                <c:pt idx="120">
                  <c:v>0.0381416666666667</c:v>
                </c:pt>
                <c:pt idx="121">
                  <c:v>0.0443666666666667</c:v>
                </c:pt>
                <c:pt idx="122">
                  <c:v>0.0376083333333333</c:v>
                </c:pt>
                <c:pt idx="123">
                  <c:v>0.03695</c:v>
                </c:pt>
                <c:pt idx="124">
                  <c:v>0.0366666666666667</c:v>
                </c:pt>
                <c:pt idx="125">
                  <c:v>0.0374916666666667</c:v>
                </c:pt>
                <c:pt idx="126">
                  <c:v>0.0383916666666667</c:v>
                </c:pt>
                <c:pt idx="127">
                  <c:v>0.0370916666666667</c:v>
                </c:pt>
                <c:pt idx="128">
                  <c:v>0.036375</c:v>
                </c:pt>
                <c:pt idx="129">
                  <c:v>0.0349083333333333</c:v>
                </c:pt>
                <c:pt idx="130">
                  <c:v>0.0330583333333333</c:v>
                </c:pt>
                <c:pt idx="131">
                  <c:v>0.0337083333333333</c:v>
                </c:pt>
                <c:pt idx="132">
                  <c:v>0.03405</c:v>
                </c:pt>
                <c:pt idx="133">
                  <c:v>0.0321416666666667</c:v>
                </c:pt>
                <c:pt idx="134">
                  <c:v>0.0320666666666667</c:v>
                </c:pt>
                <c:pt idx="135">
                  <c:v>0.0331083333333333</c:v>
                </c:pt>
                <c:pt idx="136">
                  <c:v>0.032025</c:v>
                </c:pt>
                <c:pt idx="137">
                  <c:v>0.0314</c:v>
                </c:pt>
                <c:pt idx="138">
                  <c:v>0.0313833333333333</c:v>
                </c:pt>
                <c:pt idx="139">
                  <c:v>0.0322666666666667</c:v>
                </c:pt>
                <c:pt idx="140">
                  <c:v>0.0320166666666667</c:v>
                </c:pt>
                <c:pt idx="141">
                  <c:v>0.030425</c:v>
                </c:pt>
                <c:pt idx="142">
                  <c:v>0.0349</c:v>
                </c:pt>
                <c:pt idx="143">
                  <c:v>0.0320583333333333</c:v>
                </c:pt>
                <c:pt idx="144">
                  <c:v>0.0312166666666667</c:v>
                </c:pt>
                <c:pt idx="145">
                  <c:v>0.0332166666666667</c:v>
                </c:pt>
                <c:pt idx="146">
                  <c:v>0.0349833333333333</c:v>
                </c:pt>
                <c:pt idx="147">
                  <c:v>0.0338583333333333</c:v>
                </c:pt>
                <c:pt idx="148">
                  <c:v>0.0360916666666667</c:v>
                </c:pt>
                <c:pt idx="149">
                  <c:v>0.0372166666666667</c:v>
                </c:pt>
                <c:pt idx="150">
                  <c:v>0.037175</c:v>
                </c:pt>
                <c:pt idx="151">
                  <c:v>0.0401666666666667</c:v>
                </c:pt>
                <c:pt idx="152">
                  <c:v>0.0419833333333333</c:v>
                </c:pt>
                <c:pt idx="153">
                  <c:v>0.0438333333333333</c:v>
                </c:pt>
                <c:pt idx="154">
                  <c:v>0.0444</c:v>
                </c:pt>
                <c:pt idx="155">
                  <c:v>0.044125</c:v>
                </c:pt>
                <c:pt idx="156">
                  <c:v>0.0456416666666667</c:v>
                </c:pt>
                <c:pt idx="157">
                  <c:v>0.044875</c:v>
                </c:pt>
                <c:pt idx="158">
                  <c:v>0.0413583333333333</c:v>
                </c:pt>
                <c:pt idx="159">
                  <c:v>0.0422166666666667</c:v>
                </c:pt>
                <c:pt idx="160">
                  <c:v>0.0407833333333333</c:v>
                </c:pt>
                <c:pt idx="161">
                  <c:v>0.0401583333333333</c:v>
                </c:pt>
                <c:pt idx="162">
                  <c:v>0.042775</c:v>
                </c:pt>
                <c:pt idx="163">
                  <c:v>0.0389666666666667</c:v>
                </c:pt>
                <c:pt idx="164">
                  <c:v>0.0404416666666667</c:v>
                </c:pt>
                <c:pt idx="165">
                  <c:v>0.0409833333333333</c:v>
                </c:pt>
                <c:pt idx="166">
                  <c:v>0.0381416666666667</c:v>
                </c:pt>
                <c:pt idx="167">
                  <c:v>0.0374416666666667</c:v>
                </c:pt>
                <c:pt idx="168">
                  <c:v>0.0363333333333333</c:v>
                </c:pt>
                <c:pt idx="169">
                  <c:v>0.0349916666666667</c:v>
                </c:pt>
                <c:pt idx="170">
                  <c:v>0.03525</c:v>
                </c:pt>
                <c:pt idx="171">
                  <c:v>0.0353916666666667</c:v>
                </c:pt>
                <c:pt idx="172">
                  <c:v>0.0338416666666667</c:v>
                </c:pt>
                <c:pt idx="173">
                  <c:v>0.0332666666666667</c:v>
                </c:pt>
                <c:pt idx="174">
                  <c:v>0.0305666666666667</c:v>
                </c:pt>
                <c:pt idx="175">
                  <c:v>0.0304916666666667</c:v>
                </c:pt>
                <c:pt idx="176">
                  <c:v>0.0377</c:v>
                </c:pt>
                <c:pt idx="177">
                  <c:v>0.0401583333333333</c:v>
                </c:pt>
                <c:pt idx="178">
                  <c:v>0.0423416666666667</c:v>
                </c:pt>
                <c:pt idx="179">
                  <c:v>0.0440833333333333</c:v>
                </c:pt>
                <c:pt idx="180">
                  <c:v>0.0445</c:v>
                </c:pt>
                <c:pt idx="181">
                  <c:v>0.0544</c:v>
                </c:pt>
                <c:pt idx="182">
                  <c:v>0.0558416666666667</c:v>
                </c:pt>
                <c:pt idx="183">
                  <c:v>0.0561916666666667</c:v>
                </c:pt>
                <c:pt idx="184">
                  <c:v>0.059925</c:v>
                </c:pt>
                <c:pt idx="185">
                  <c:v>0.0613416666666667</c:v>
                </c:pt>
                <c:pt idx="186">
                  <c:v>0.06875</c:v>
                </c:pt>
                <c:pt idx="187">
                  <c:v>0.0683916666666667</c:v>
                </c:pt>
                <c:pt idx="188">
                  <c:v>0.0560083333333333</c:v>
                </c:pt>
                <c:pt idx="189">
                  <c:v>0.055125</c:v>
                </c:pt>
                <c:pt idx="190">
                  <c:v>0.0569</c:v>
                </c:pt>
                <c:pt idx="191">
                  <c:v>0.0585916666666667</c:v>
                </c:pt>
                <c:pt idx="192">
                  <c:v>0.0654833333333333</c:v>
                </c:pt>
                <c:pt idx="193">
                  <c:v>0.05925</c:v>
                </c:pt>
                <c:pt idx="194">
                  <c:v>0.0678166666666667</c:v>
                </c:pt>
                <c:pt idx="195">
                  <c:v>0.0736416666666667</c:v>
                </c:pt>
                <c:pt idx="196">
                  <c:v>0.0744416666666667</c:v>
                </c:pt>
                <c:pt idx="197">
                  <c:v>0.077475</c:v>
                </c:pt>
                <c:pt idx="198">
                  <c:v>0.0780333333333333</c:v>
                </c:pt>
                <c:pt idx="199">
                  <c:v>0.0821916666666667</c:v>
                </c:pt>
                <c:pt idx="200">
                  <c:v>0.0921916666666667</c:v>
                </c:pt>
                <c:pt idx="201">
                  <c:v>0.0996916666666667</c:v>
                </c:pt>
                <c:pt idx="202">
                  <c:v>0.099975</c:v>
                </c:pt>
                <c:pt idx="203">
                  <c:v>0.0976</c:v>
                </c:pt>
                <c:pt idx="204">
                  <c:v>0.107875</c:v>
                </c:pt>
                <c:pt idx="205">
                  <c:v>0.10515</c:v>
                </c:pt>
                <c:pt idx="206">
                  <c:v>0.1012</c:v>
                </c:pt>
                <c:pt idx="207">
                  <c:v>0.123491666666667</c:v>
                </c:pt>
                <c:pt idx="208">
                  <c:v>0.126208333333333</c:v>
                </c:pt>
                <c:pt idx="209">
                  <c:v>0.124533333333333</c:v>
                </c:pt>
                <c:pt idx="210">
                  <c:v>0.12505</c:v>
                </c:pt>
                <c:pt idx="211">
                  <c:v>0.125041666666667</c:v>
                </c:pt>
                <c:pt idx="212">
                  <c:v>0.12205</c:v>
                </c:pt>
                <c:pt idx="213">
                  <c:v>0.1227</c:v>
                </c:pt>
                <c:pt idx="214">
                  <c:v>0.119725</c:v>
                </c:pt>
                <c:pt idx="215">
                  <c:v>0.126866666666667</c:v>
                </c:pt>
                <c:pt idx="216">
                  <c:v>0.123491666666667</c:v>
                </c:pt>
                <c:pt idx="217">
                  <c:v>0.12445</c:v>
                </c:pt>
                <c:pt idx="218">
                  <c:v>0.124225</c:v>
                </c:pt>
                <c:pt idx="219">
                  <c:v>0.102475</c:v>
                </c:pt>
                <c:pt idx="220">
                  <c:v>0.10205</c:v>
                </c:pt>
                <c:pt idx="221">
                  <c:v>0.107583333333333</c:v>
                </c:pt>
                <c:pt idx="222">
                  <c:v>0.104833333333333</c:v>
                </c:pt>
                <c:pt idx="223">
                  <c:v>0.105141666666667</c:v>
                </c:pt>
                <c:pt idx="224">
                  <c:v>0.101658333333333</c:v>
                </c:pt>
                <c:pt idx="225">
                  <c:v>0.0968333333333333</c:v>
                </c:pt>
                <c:pt idx="226">
                  <c:v>0.0979083333333333</c:v>
                </c:pt>
                <c:pt idx="227">
                  <c:v>0.0963166666666667</c:v>
                </c:pt>
                <c:pt idx="228">
                  <c:v>0.087825</c:v>
                </c:pt>
                <c:pt idx="229">
                  <c:v>0.0894666666666667</c:v>
                </c:pt>
                <c:pt idx="230">
                  <c:v>0.0909416666666667</c:v>
                </c:pt>
                <c:pt idx="231">
                  <c:v>0.081225</c:v>
                </c:pt>
                <c:pt idx="232">
                  <c:v>0.0852083333333333</c:v>
                </c:pt>
                <c:pt idx="233">
                  <c:v>0.0815666666666667</c:v>
                </c:pt>
                <c:pt idx="234">
                  <c:v>0.0793416666666667</c:v>
                </c:pt>
                <c:pt idx="235">
                  <c:v>0.0776583333333333</c:v>
                </c:pt>
                <c:pt idx="236">
                  <c:v>0.0774916666666667</c:v>
                </c:pt>
                <c:pt idx="237">
                  <c:v>0.0740583333333333</c:v>
                </c:pt>
                <c:pt idx="238">
                  <c:v>0.0760166666666667</c:v>
                </c:pt>
                <c:pt idx="239">
                  <c:v>0.074275</c:v>
                </c:pt>
                <c:pt idx="240">
                  <c:v>0.07445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894229"/>
        <c:axId val="9250118"/>
      </c:lineChart>
      <c:catAx>
        <c:axId val="27894229"/>
        <c:scaling>
          <c:orientation val="minMax"/>
        </c:scaling>
        <c:delete val="0"/>
        <c:axPos val="b"/>
        <c:numFmt formatCode="dd\-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50118"/>
        <c:crosses val="autoZero"/>
        <c:auto val="1"/>
        <c:lblAlgn val="ctr"/>
        <c:lblOffset val="100"/>
        <c:noMultiLvlLbl val="0"/>
      </c:catAx>
      <c:valAx>
        <c:axId val="92501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942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43</xdr:row>
      <xdr:rowOff>0</xdr:rowOff>
    </xdr:from>
    <xdr:to>
      <xdr:col>5</xdr:col>
      <xdr:colOff>1458720</xdr:colOff>
      <xdr:row>56</xdr:row>
      <xdr:rowOff>41760</xdr:rowOff>
    </xdr:to>
    <xdr:graphicFrame>
      <xdr:nvGraphicFramePr>
        <xdr:cNvPr id="0" name="Chart 1"/>
        <xdr:cNvGraphicFramePr/>
      </xdr:nvGraphicFramePr>
      <xdr:xfrm>
        <a:off x="177840" y="8877240"/>
        <a:ext cx="6881760" cy="25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43</xdr:row>
      <xdr:rowOff>0</xdr:rowOff>
    </xdr:from>
    <xdr:to>
      <xdr:col>13</xdr:col>
      <xdr:colOff>165240</xdr:colOff>
      <xdr:row>56</xdr:row>
      <xdr:rowOff>41760</xdr:rowOff>
    </xdr:to>
    <xdr:graphicFrame>
      <xdr:nvGraphicFramePr>
        <xdr:cNvPr id="1" name="Chart 2"/>
        <xdr:cNvGraphicFramePr/>
      </xdr:nvGraphicFramePr>
      <xdr:xfrm>
        <a:off x="11201400" y="8877240"/>
        <a:ext cx="7220160" cy="25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17</xdr:col>
      <xdr:colOff>579960</xdr:colOff>
      <xdr:row>16</xdr:row>
      <xdr:rowOff>98640</xdr:rowOff>
    </xdr:to>
    <xdr:graphicFrame>
      <xdr:nvGraphicFramePr>
        <xdr:cNvPr id="2" name="Chart 1"/>
        <xdr:cNvGraphicFramePr/>
      </xdr:nvGraphicFramePr>
      <xdr:xfrm>
        <a:off x="6461280" y="380880"/>
        <a:ext cx="9838080" cy="287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/>
    </row>
    <row r="19" customFormat="false" ht="15" hidden="false" customHeight="true" outlineLevel="0" collapsed="false">
      <c r="A19" s="4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4" t="s">
        <v>19</v>
      </c>
    </row>
    <row r="25" customFormat="false" ht="15" hidden="false" customHeight="true" outlineLevel="0" collapsed="false">
      <c r="A25" s="3"/>
    </row>
    <row r="26" customFormat="false" ht="15" hidden="false" customHeight="true" outlineLevel="0" collapsed="false">
      <c r="A2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3"/>
    <col collapsed="false" customWidth="true" hidden="false" outlineLevel="0" max="5" min="5" style="1" width="2"/>
    <col collapsed="false" customWidth="true" hidden="false" outlineLevel="0" max="6" min="6" style="1" width="40"/>
    <col collapsed="false" customWidth="true" hidden="false" outlineLevel="0" max="7" min="7" style="1" width="18"/>
    <col collapsed="false" customWidth="true" hidden="false" outlineLevel="0" max="8" min="8" style="1" width="3"/>
    <col collapsed="false" customWidth="true" hidden="false" outlineLevel="0" max="9" min="9" style="1" width="2"/>
    <col collapsed="false" customWidth="true" hidden="false" outlineLevel="0" max="10" min="10" style="1" width="42"/>
    <col collapsed="false" customWidth="true" hidden="false" outlineLevel="0" max="11" min="11" style="1" width="20"/>
  </cols>
  <sheetData>
    <row r="1" customFormat="false" ht="15" hidden="false" customHeight="true" outlineLevel="0" collapsed="false">
      <c r="A1" s="5"/>
      <c r="B1" s="2" t="s">
        <v>20</v>
      </c>
      <c r="C1" s="5"/>
      <c r="D1" s="5"/>
      <c r="E1" s="5"/>
      <c r="F1" s="5"/>
      <c r="G1" s="5"/>
      <c r="H1" s="5"/>
      <c r="I1" s="5"/>
      <c r="J1" s="5"/>
      <c r="K1" s="5"/>
    </row>
    <row r="2" customFormat="false" ht="15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customFormat="false" ht="15" hidden="false" customHeight="true" outlineLevel="0" collapsed="false">
      <c r="A3" s="5"/>
      <c r="B3" s="4" t="s">
        <v>21</v>
      </c>
      <c r="C3" s="6" t="s">
        <v>22</v>
      </c>
      <c r="D3" s="5"/>
      <c r="E3" s="5"/>
      <c r="F3" s="5"/>
      <c r="G3" s="5"/>
      <c r="H3" s="5"/>
      <c r="I3" s="5"/>
      <c r="J3" s="5"/>
      <c r="K3" s="5"/>
    </row>
    <row r="4" customFormat="false" ht="1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15" hidden="false" customHeight="true" outlineLevel="0" collapsed="false">
      <c r="A5" s="5"/>
      <c r="B5" s="4" t="s">
        <v>23</v>
      </c>
      <c r="C5" s="5"/>
      <c r="D5" s="5"/>
      <c r="E5" s="5"/>
      <c r="F5" s="4" t="s">
        <v>24</v>
      </c>
      <c r="G5" s="5"/>
      <c r="H5" s="5"/>
      <c r="I5" s="5"/>
      <c r="J5" s="4" t="s">
        <v>25</v>
      </c>
      <c r="K5" s="5"/>
    </row>
    <row r="6" customFormat="false" ht="15" hidden="false" customHeight="true" outlineLevel="0" collapsed="false">
      <c r="A6" s="5"/>
      <c r="B6" s="3" t="s">
        <v>26</v>
      </c>
      <c r="C6" s="7" t="str">
        <f aca="false">INDEX(Deals!$B$2:$B$18,MATCH($C$3,Deals!$A$2:$A$18,0))</f>
        <v>MAGEL 3 A</v>
      </c>
      <c r="D6" s="5"/>
      <c r="E6" s="5"/>
      <c r="F6" s="3" t="s">
        <v>27</v>
      </c>
      <c r="G6" s="8" t="n">
        <v>46289</v>
      </c>
      <c r="H6" s="5"/>
      <c r="I6" s="5"/>
      <c r="J6" s="3" t="s">
        <v>28</v>
      </c>
      <c r="K6" s="9" t="n">
        <f aca="false">IF($G$7="DM",Engine!AO8/C11*100-G26/C11*100,G8)</f>
        <v>98.5</v>
      </c>
    </row>
    <row r="7" customFormat="false" ht="15" hidden="false" customHeight="true" outlineLevel="0" collapsed="false">
      <c r="A7" s="5"/>
      <c r="B7" s="3" t="s">
        <v>29</v>
      </c>
      <c r="C7" s="10" t="n">
        <f aca="false">INDEX(Deals!$G$2:$G$18,MATCH($C$3,Deals!$A$2:$A$18,0))</f>
        <v>46251</v>
      </c>
      <c r="D7" s="5"/>
      <c r="E7" s="5"/>
      <c r="F7" s="3" t="s">
        <v>30</v>
      </c>
      <c r="G7" s="6" t="s">
        <v>31</v>
      </c>
      <c r="H7" s="5"/>
      <c r="I7" s="5"/>
      <c r="J7" s="3" t="s">
        <v>32</v>
      </c>
      <c r="K7" s="9" t="n">
        <f aca="false">G26/C11*100</f>
        <v>0.265155555555556</v>
      </c>
    </row>
    <row r="8" customFormat="false" ht="15" hidden="false" customHeight="true" outlineLevel="0" collapsed="false">
      <c r="A8" s="5"/>
      <c r="B8" s="3" t="s">
        <v>33</v>
      </c>
      <c r="C8" s="10" t="n">
        <f aca="false">INDEX(Deals!$H$2:$H$18,MATCH($C$3,Deals!$A$2:$A$18,0))</f>
        <v>46341</v>
      </c>
      <c r="D8" s="5"/>
      <c r="E8" s="5"/>
      <c r="F8" s="3" t="s">
        <v>34</v>
      </c>
      <c r="G8" s="11" t="n">
        <v>98.5</v>
      </c>
      <c r="H8" s="5"/>
      <c r="I8" s="5"/>
      <c r="J8" s="3" t="s">
        <v>35</v>
      </c>
      <c r="K8" s="9" t="n">
        <f aca="false">K6+K7</f>
        <v>98.7651555555556</v>
      </c>
    </row>
    <row r="9" customFormat="false" ht="15" hidden="false" customHeight="true" outlineLevel="0" collapsed="false">
      <c r="A9" s="5"/>
      <c r="B9" s="3" t="s">
        <v>36</v>
      </c>
      <c r="C9" s="10" t="n">
        <f aca="false">INDEX(Deals!$I$2:$I$18,MATCH($C$3,Deals!$A$2:$A$18,0))</f>
        <v>57845</v>
      </c>
      <c r="D9" s="5"/>
      <c r="E9" s="5"/>
      <c r="F9" s="3" t="s">
        <v>37</v>
      </c>
      <c r="G9" s="12" t="n">
        <v>60</v>
      </c>
      <c r="H9" s="5"/>
      <c r="I9" s="5"/>
      <c r="J9" s="3" t="s">
        <v>38</v>
      </c>
      <c r="K9" s="13" t="n">
        <f aca="false">IF($G$7="DM",G9,Engine!BC9*10000)</f>
        <v>59.4980487965544</v>
      </c>
    </row>
    <row r="10" customFormat="false" ht="15" hidden="false" customHeight="true" outlineLevel="0" collapsed="false">
      <c r="A10" s="5"/>
      <c r="B10" s="3" t="s">
        <v>39</v>
      </c>
      <c r="C10" s="14" t="n">
        <f aca="false">INDEX(Deals!$J$2:$J$18,MATCH($C$3,Deals!$A$2:$A$18,0))</f>
        <v>1413750000</v>
      </c>
      <c r="D10" s="5"/>
      <c r="E10" s="5"/>
      <c r="F10" s="3" t="s">
        <v>40</v>
      </c>
      <c r="G10" s="15" t="n">
        <v>0.0424</v>
      </c>
      <c r="H10" s="5"/>
      <c r="I10" s="5"/>
      <c r="J10" s="3" t="s">
        <v>41</v>
      </c>
      <c r="K10" s="16" t="n">
        <f aca="false">XIRR(Engine!BL10:BL190,Engine!BK10:BK190)</f>
        <v>0.0291805922446248</v>
      </c>
    </row>
    <row r="11" customFormat="false" ht="15" hidden="false" customHeight="true" outlineLevel="0" collapsed="false">
      <c r="A11" s="5"/>
      <c r="B11" s="3" t="s">
        <v>42</v>
      </c>
      <c r="C11" s="14" t="n">
        <f aca="false">INDEX(Deals!$K$2:$K$18,MATCH($C$3,Deals!$A$2:$A$18,0))</f>
        <v>110845068.75</v>
      </c>
      <c r="D11" s="5"/>
      <c r="E11" s="5"/>
      <c r="F11" s="3" t="s">
        <v>43</v>
      </c>
      <c r="G11" s="15" t="n">
        <v>0.001</v>
      </c>
      <c r="H11" s="5"/>
      <c r="I11" s="5"/>
      <c r="J11" s="3" t="s">
        <v>44</v>
      </c>
      <c r="K11" s="16" t="n">
        <f aca="false">4*((1+K10)^0.25-1)</f>
        <v>0.0288666058086893</v>
      </c>
    </row>
    <row r="12" customFormat="false" ht="15" hidden="false" customHeight="true" outlineLevel="0" collapsed="false">
      <c r="A12" s="5"/>
      <c r="B12" s="3" t="s">
        <v>45</v>
      </c>
      <c r="C12" s="14" t="n">
        <f aca="false">INDEX(Deals!$L$2:$L$18,MATCH($C$3,Deals!$A$2:$A$18,0))</f>
        <v>8507872.5</v>
      </c>
      <c r="D12" s="5"/>
      <c r="E12" s="5"/>
      <c r="F12" s="3" t="s">
        <v>46</v>
      </c>
      <c r="G12" s="17" t="n">
        <v>0.2</v>
      </c>
      <c r="H12" s="5"/>
      <c r="I12" s="5"/>
      <c r="J12" s="3" t="s">
        <v>47</v>
      </c>
      <c r="K12" s="13" t="n">
        <f aca="false">SUMPRODUCT(Engine!AD11:AD190,Engine!AJ11:AJ190)/SUM(Engine!AD11:AD190)</f>
        <v>4.86768811865552</v>
      </c>
    </row>
    <row r="13" customFormat="false" ht="15" hidden="false" customHeight="true" outlineLevel="0" collapsed="false">
      <c r="A13" s="5"/>
      <c r="B13" s="3" t="s">
        <v>48</v>
      </c>
      <c r="C13" s="18" t="n">
        <f aca="false">INDEX(Deals!$M$2:$M$18,MATCH($C$3,Deals!$A$2:$A$18,0))</f>
        <v>0.0026</v>
      </c>
      <c r="D13" s="5"/>
      <c r="E13" s="5"/>
      <c r="F13" s="3" t="s">
        <v>49</v>
      </c>
      <c r="G13" s="19" t="n">
        <v>8</v>
      </c>
      <c r="H13" s="5"/>
      <c r="I13" s="5"/>
      <c r="J13" s="3" t="s">
        <v>50</v>
      </c>
      <c r="K13" s="13" t="n">
        <f aca="false">(Engine!BG8-Engine!BI8)/(2*G27*0.001)</f>
        <v>4.48016441815711</v>
      </c>
    </row>
    <row r="14" customFormat="false" ht="15" hidden="false" customHeight="true" outlineLevel="0" collapsed="false">
      <c r="A14" s="5"/>
      <c r="B14" s="3" t="s">
        <v>51</v>
      </c>
      <c r="C14" s="20" t="n">
        <f aca="false">INDEX(Deals!$N$2:$N$18,MATCH($C$3,Deals!$A$2:$A$18,0))</f>
        <v>0.00706260869565217</v>
      </c>
      <c r="D14" s="5"/>
      <c r="E14" s="5"/>
      <c r="F14" s="3" t="s">
        <v>52</v>
      </c>
      <c r="G14" s="15" t="n">
        <f aca="false">C29</f>
        <v>5.30288455382128E-005</v>
      </c>
      <c r="H14" s="5"/>
      <c r="I14" s="5"/>
      <c r="J14" s="3" t="s">
        <v>53</v>
      </c>
      <c r="K14" s="13" t="n">
        <f aca="false">(Engine!C11-G6)/365</f>
        <v>0.145205479452055</v>
      </c>
    </row>
    <row r="15" customFormat="false" ht="15" hidden="false" customHeight="true" outlineLevel="0" collapsed="false">
      <c r="A15" s="5"/>
      <c r="B15" s="3" t="s">
        <v>54</v>
      </c>
      <c r="C15" s="21" t="n">
        <f aca="false">INDEX(Deals!$O$2:$O$18,MATCH($C$3,Deals!$A$2:$A$18,0))</f>
        <v>0.02252</v>
      </c>
      <c r="D15" s="5"/>
      <c r="E15" s="5"/>
      <c r="F15" s="3" t="s">
        <v>55</v>
      </c>
      <c r="G15" s="19" t="n">
        <v>0</v>
      </c>
      <c r="H15" s="5"/>
      <c r="I15" s="5"/>
      <c r="J15" s="3" t="s">
        <v>56</v>
      </c>
      <c r="K15" s="22" t="n">
        <f aca="false">SUMPRODUCT(MAX((Engine!AD11:AD190&gt;0.005)*Engine!C11:C190))</f>
        <v>50175</v>
      </c>
    </row>
    <row r="16" customFormat="false" ht="15" hidden="false" customHeight="true" outlineLevel="0" collapsed="false">
      <c r="A16" s="5"/>
      <c r="B16" s="3" t="s">
        <v>57</v>
      </c>
      <c r="C16" s="14" t="n">
        <f aca="false">INDEX(Deals!$P$2:$P$18,MATCH($C$3,Deals!$A$2:$A$18,0))</f>
        <v>119356379.69</v>
      </c>
      <c r="D16" s="5"/>
      <c r="E16" s="5"/>
      <c r="F16" s="3" t="s">
        <v>58</v>
      </c>
      <c r="G16" s="8" t="n">
        <v>46433</v>
      </c>
      <c r="H16" s="5"/>
      <c r="I16" s="5"/>
      <c r="J16" s="3" t="s">
        <v>59</v>
      </c>
      <c r="K16" s="23" t="n">
        <f aca="false">SUMPRODUCT((Engine!E11:E190=TRUE())*(Engine!O11:O190-Engine!AD11:AD190))</f>
        <v>0</v>
      </c>
    </row>
    <row r="17" customFormat="false" ht="15" hidden="false" customHeight="true" outlineLevel="0" collapsed="false">
      <c r="A17" s="5"/>
      <c r="B17" s="3" t="s">
        <v>60</v>
      </c>
      <c r="C17" s="14" t="n">
        <f aca="false">INDEX(Deals!$Q$2:$Q$18,MATCH($C$3,Deals!$A$2:$A$18,0))</f>
        <v>1500000031.92</v>
      </c>
      <c r="D17" s="5"/>
      <c r="E17" s="5"/>
      <c r="F17" s="3" t="s">
        <v>61</v>
      </c>
      <c r="G17" s="24" t="n">
        <v>0.02252</v>
      </c>
      <c r="H17" s="5"/>
      <c r="I17" s="5"/>
      <c r="J17" s="3" t="s">
        <v>62</v>
      </c>
      <c r="K17" s="22" t="str">
        <f aca="false">IFERROR(INDEX(Engine!C11:C190,MATCH(TRUE(),Engine!AB11:AB190,0)),"no call")</f>
        <v>no call</v>
      </c>
    </row>
    <row r="18" customFormat="false" ht="15" hidden="false" customHeight="true" outlineLevel="0" collapsed="false">
      <c r="A18" s="5"/>
      <c r="B18" s="3" t="s">
        <v>63</v>
      </c>
      <c r="C18" s="21" t="n">
        <f aca="false">INDEX(Deals!$R$2:$R$18,MATCH($C$3,Deals!$A$2:$A$18,0))</f>
        <v>0.03174</v>
      </c>
      <c r="D18" s="5"/>
      <c r="E18" s="5"/>
      <c r="F18" s="3" t="s">
        <v>64</v>
      </c>
      <c r="G18" s="19" t="n">
        <v>0</v>
      </c>
      <c r="H18" s="5"/>
      <c r="I18" s="5"/>
      <c r="J18" s="3" t="s">
        <v>65</v>
      </c>
      <c r="K18" s="23" t="n">
        <f aca="false">IF($G$7="DM",0,Engine!BC8-G27)</f>
        <v>0</v>
      </c>
    </row>
    <row r="19" customFormat="false" ht="30" hidden="false" customHeight="true" outlineLevel="0" collapsed="false">
      <c r="A19" s="5"/>
      <c r="B19" s="3" t="s">
        <v>66</v>
      </c>
      <c r="C19" s="14" t="n">
        <f aca="false">INDEX(Deals!$S$2:$S$18,MATCH($C$3,Deals!$A$2:$A$18,0))</f>
        <v>123397891.75</v>
      </c>
      <c r="D19" s="5"/>
      <c r="E19" s="5"/>
      <c r="F19" s="3" t="s">
        <v>67</v>
      </c>
      <c r="G19" s="25" t="n">
        <v>0</v>
      </c>
      <c r="H19" s="5"/>
      <c r="I19" s="5"/>
      <c r="J19" s="3" t="s">
        <v>68</v>
      </c>
      <c r="K19" s="26" t="str">
        <f aca="false">IF(G6&gt;=Engine!C11,"STALE: settlement on/after next IPD — harvest the newer report",IF(G6&lt;C7,"ERROR: settlement before last IPD","OK"))</f>
        <v>OK</v>
      </c>
    </row>
    <row r="20" customFormat="false" ht="15" hidden="false" customHeight="true" outlineLevel="0" collapsed="false">
      <c r="A20" s="5"/>
      <c r="B20" s="3" t="s">
        <v>69</v>
      </c>
      <c r="C20" s="14" t="n">
        <f aca="false">INDEX(Deals!$T$2:$T$18,MATCH($C$3,Deals!$A$2:$A$18,0))</f>
        <v>2257065.08</v>
      </c>
      <c r="D20" s="5"/>
      <c r="E20" s="5"/>
      <c r="F20" s="4" t="s">
        <v>70</v>
      </c>
      <c r="G20" s="27" t="n">
        <v>1</v>
      </c>
      <c r="H20" s="5"/>
      <c r="I20" s="5"/>
      <c r="J20" s="3" t="s">
        <v>71</v>
      </c>
      <c r="K20" s="23" t="n">
        <f aca="false">C11-SUM(Engine!AD11:AD190)-K16</f>
        <v>0</v>
      </c>
    </row>
    <row r="21" customFormat="false" ht="15" hidden="false" customHeight="true" outlineLevel="0" collapsed="false">
      <c r="A21" s="5"/>
      <c r="B21" s="3" t="s">
        <v>72</v>
      </c>
      <c r="C21" s="28" t="n">
        <f aca="false">INDEX(Deals!$W$2:$W$18,MATCH($C$3,Deals!$A$2:$A$18,0))</f>
        <v>1</v>
      </c>
      <c r="D21" s="5"/>
      <c r="E21" s="5"/>
      <c r="F21" s="3" t="s">
        <v>73</v>
      </c>
      <c r="G21" s="29" t="n">
        <f aca="false">1-(1-G10)^0.25</f>
        <v>0.0107728340679248</v>
      </c>
      <c r="H21" s="5"/>
      <c r="I21" s="5"/>
      <c r="J21" s="3" t="s">
        <v>74</v>
      </c>
      <c r="K21" s="23" t="n">
        <f aca="false">SUM(Engine!AI11:AI190)</f>
        <v>124880954.537107</v>
      </c>
    </row>
    <row r="22" customFormat="false" ht="15" hidden="false" customHeight="true" outlineLevel="0" collapsed="false">
      <c r="A22" s="5"/>
      <c r="B22" s="3" t="s">
        <v>75</v>
      </c>
      <c r="C22" s="30" t="n">
        <f aca="false">INDEX(Deals!$X$2:$X$18,MATCH($C$3,Deals!$A$2:$A$18,0))</f>
        <v>0.75</v>
      </c>
      <c r="D22" s="5"/>
      <c r="E22" s="5"/>
      <c r="F22" s="3" t="s">
        <v>76</v>
      </c>
      <c r="G22" s="29" t="n">
        <f aca="false">1-(1-G11)^0.25</f>
        <v>0.000250093804725071</v>
      </c>
      <c r="H22" s="5"/>
      <c r="I22" s="5"/>
      <c r="J22" s="3" t="s">
        <v>77</v>
      </c>
      <c r="K22" s="31" t="n">
        <f aca="false">INDEX(Engine!AG11:AG190,4)/C10</f>
        <v>0.0694519341160294</v>
      </c>
    </row>
    <row r="23" customFormat="false" ht="15" hidden="false" customHeight="true" outlineLevel="0" collapsed="false">
      <c r="A23" s="5"/>
      <c r="B23" s="3" t="s">
        <v>78</v>
      </c>
      <c r="C23" s="18" t="n">
        <f aca="false">INDEX(Deals!$Y$2:$Y$18,MATCH($C$3,Deals!$A$2:$A$18,0))</f>
        <v>0.018</v>
      </c>
      <c r="D23" s="5"/>
      <c r="E23" s="5"/>
      <c r="F23" s="3" t="s">
        <v>79</v>
      </c>
      <c r="G23" s="29" t="n">
        <f aca="false">C18/4</f>
        <v>0.007935</v>
      </c>
      <c r="H23" s="5"/>
      <c r="I23" s="5"/>
      <c r="J23" s="5"/>
      <c r="K23" s="5"/>
    </row>
    <row r="24" customFormat="false" ht="15" hidden="false" customHeight="true" outlineLevel="0" collapsed="false">
      <c r="A24" s="5"/>
      <c r="B24" s="3" t="s">
        <v>80</v>
      </c>
      <c r="C24" s="30" t="n">
        <f aca="false">INDEX(Deals!$Z$2:$Z$18,MATCH($C$3,Deals!$A$2:$A$18,0))</f>
        <v>0.1</v>
      </c>
      <c r="D24" s="5"/>
      <c r="E24" s="5"/>
      <c r="F24" s="3" t="s">
        <v>81</v>
      </c>
      <c r="G24" s="32" t="n">
        <f aca="false">IFERROR(LN(1+G23*C19/C20)/LN(1+G23),0)</f>
        <v>45.5917704676111</v>
      </c>
      <c r="H24" s="5"/>
      <c r="I24" s="5"/>
      <c r="J24" s="33" t="s">
        <v>82</v>
      </c>
      <c r="K24" s="5"/>
    </row>
    <row r="25" customFormat="false" ht="15" hidden="false" customHeight="true" outlineLevel="0" collapsed="false">
      <c r="A25" s="5"/>
      <c r="B25" s="3" t="s">
        <v>83</v>
      </c>
      <c r="C25" s="34" t="n">
        <f aca="false">INDEX(Deals!$AA$2:$AA$18,MATCH($C$3,Deals!$A$2:$A$18,0))</f>
        <v>100000</v>
      </c>
      <c r="D25" s="5"/>
      <c r="E25" s="5"/>
      <c r="F25" s="3" t="s">
        <v>84</v>
      </c>
      <c r="G25" s="32" t="n">
        <f aca="false">G24/4</f>
        <v>11.3979426169028</v>
      </c>
      <c r="H25" s="5"/>
      <c r="I25" s="5"/>
      <c r="J25" s="5"/>
      <c r="K25" s="5"/>
    </row>
    <row r="26" customFormat="false" ht="15" hidden="false" customHeight="true" outlineLevel="0" collapsed="false">
      <c r="A26" s="5"/>
      <c r="B26" s="3" t="s">
        <v>85</v>
      </c>
      <c r="C26" s="18" t="n">
        <f aca="false">INDEX(Deals!$AB$2:$AB$18,MATCH($C$3,Deals!$A$2:$A$18,0))</f>
        <v>0.001</v>
      </c>
      <c r="D26" s="5"/>
      <c r="E26" s="5"/>
      <c r="F26" s="3" t="s">
        <v>86</v>
      </c>
      <c r="G26" s="35" t="n">
        <f aca="false">C11*(C15+C13)*(G6-C7)/360</f>
        <v>293911.85785</v>
      </c>
      <c r="H26" s="5"/>
      <c r="I26" s="5"/>
      <c r="J26" s="5"/>
      <c r="K26" s="5"/>
    </row>
    <row r="27" customFormat="false" ht="15" hidden="false" customHeight="true" outlineLevel="0" collapsed="false">
      <c r="A27" s="5"/>
      <c r="B27" s="3" t="s">
        <v>87</v>
      </c>
      <c r="C27" s="21" t="n">
        <f aca="false">INDEX(Deals!$U$2:$U$18,MATCH($C$3,Deals!$A$2:$A$18,0))</f>
        <v>0.0424</v>
      </c>
      <c r="D27" s="5"/>
      <c r="E27" s="5"/>
      <c r="F27" s="3" t="s">
        <v>88</v>
      </c>
      <c r="G27" s="35" t="n">
        <f aca="false">K6/100*C11+G26</f>
        <v>109476304.5766</v>
      </c>
      <c r="H27" s="5"/>
      <c r="I27" s="5"/>
      <c r="J27" s="5"/>
      <c r="K27" s="5"/>
    </row>
    <row r="28" customFormat="false" ht="54" hidden="false" customHeight="true" outlineLevel="0" collapsed="false">
      <c r="A28" s="5"/>
      <c r="B28" s="3" t="s">
        <v>89</v>
      </c>
      <c r="C28" s="36" t="str">
        <f aca="false">INDEX(Deals!$AC$2:$AC$18,MATCH($C$3,Deals!$A$2:$A$18,0))</f>
        <v>History 23 IPDs to 2026-08-17; gate INCOMPLETE; model NO_RELIABLE_MODEL; CONFIG_INCOMPLETE: fees,swap</v>
      </c>
      <c r="D28" s="5"/>
      <c r="E28" s="5"/>
      <c r="F28" s="5"/>
      <c r="G28" s="5"/>
      <c r="H28" s="5"/>
      <c r="I28" s="5"/>
      <c r="J28" s="5"/>
      <c r="K28" s="5"/>
    </row>
    <row r="29" customFormat="false" ht="15" hidden="false" customHeight="true" outlineLevel="0" collapsed="false">
      <c r="A29" s="5"/>
      <c r="B29" s="3" t="s">
        <v>90</v>
      </c>
      <c r="C29" s="20" t="n">
        <f aca="false">INDEX(Deals!$V$2:$V$18,MATCH($C$3,Deals!$A$2:$A$18,0))</f>
        <v>5.30288455382128E-005</v>
      </c>
      <c r="D29" s="5"/>
      <c r="E29" s="5"/>
      <c r="F29" s="5"/>
      <c r="G29" s="5"/>
      <c r="H29" s="5"/>
      <c r="I29" s="5"/>
      <c r="J29" s="5"/>
      <c r="K29" s="5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customFormat="false" ht="1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customFormat="false" ht="1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customFormat="false" ht="1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customFormat="false" ht="1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customFormat="false" ht="15" hidden="false" customHeight="true" outlineLevel="0" collapsed="false">
      <c r="A36" s="5"/>
      <c r="B36" s="5"/>
      <c r="C36" s="5"/>
      <c r="D36" s="5"/>
      <c r="E36" s="5"/>
      <c r="F36" s="4" t="s">
        <v>91</v>
      </c>
      <c r="G36" s="5"/>
      <c r="H36" s="5"/>
      <c r="I36" s="5"/>
      <c r="J36" s="5"/>
      <c r="K36" s="5"/>
    </row>
    <row r="37" customFormat="false" ht="15" hidden="false" customHeight="true" outlineLevel="0" collapsed="false">
      <c r="A37" s="5"/>
      <c r="B37" s="5"/>
      <c r="C37" s="5"/>
      <c r="D37" s="5"/>
      <c r="E37" s="5"/>
      <c r="F37" s="3" t="s">
        <v>92</v>
      </c>
      <c r="G37" s="37" t="n">
        <f aca="false">COUNTIF(History!A4:A2003,$C$3)</f>
        <v>23</v>
      </c>
      <c r="H37" s="5"/>
      <c r="I37" s="5"/>
      <c r="J37" s="5"/>
      <c r="K37" s="5"/>
    </row>
    <row r="38" customFormat="false" ht="15" hidden="false" customHeight="true" outlineLevel="0" collapsed="false">
      <c r="A38" s="5"/>
      <c r="B38" s="5"/>
      <c r="C38" s="5"/>
      <c r="D38" s="5"/>
      <c r="E38" s="5"/>
      <c r="F38" s="3" t="s">
        <v>93</v>
      </c>
      <c r="G38" s="38" t="n">
        <f aca="false">_xlfn.MAXIFS(History!E4:E2003,History!A4:A2003,$C$3)</f>
        <v>46251</v>
      </c>
      <c r="H38" s="5"/>
      <c r="I38" s="5"/>
      <c r="J38" s="5"/>
      <c r="K38" s="5"/>
    </row>
    <row r="39" customFormat="false" ht="15" hidden="false" customHeight="true" outlineLevel="0" collapsed="false">
      <c r="A39" s="5"/>
      <c r="B39" s="5"/>
      <c r="C39" s="5"/>
      <c r="D39" s="5"/>
      <c r="E39" s="5"/>
      <c r="F39" s="3" t="s">
        <v>94</v>
      </c>
      <c r="G39" s="39" t="n">
        <f aca="false">IFERROR(AVERAGEIFS(History!BC4:BC2003,History!A4:A2003,$C$3,History!E4:E2003,"&gt;"&amp;EDATE(G38,-12)),"n/a")</f>
        <v>0.0484672830258309</v>
      </c>
      <c r="H39" s="5"/>
      <c r="I39" s="5"/>
      <c r="J39" s="5"/>
      <c r="K39" s="5"/>
    </row>
    <row r="40" customFormat="false" ht="15" hidden="false" customHeight="true" outlineLevel="0" collapsed="false">
      <c r="A40" s="5"/>
      <c r="B40" s="5"/>
      <c r="C40" s="5"/>
      <c r="D40" s="5"/>
      <c r="E40" s="5"/>
      <c r="F40" s="3" t="s">
        <v>95</v>
      </c>
      <c r="G40" s="37" t="n">
        <f aca="false">SUMPRODUCT((History!A4:A2003=$C$3)*(LEFT(History!AR4:AR2003,6)="review"))</f>
        <v>0</v>
      </c>
      <c r="H40" s="5"/>
      <c r="I40" s="5"/>
      <c r="J40" s="5"/>
      <c r="K40" s="5"/>
    </row>
    <row r="41" customFormat="false" ht="15" hidden="false" customHeight="true" outlineLevel="0" collapsed="false">
      <c r="A41" s="5"/>
      <c r="B41" s="5"/>
      <c r="C41" s="5"/>
      <c r="D41" s="5"/>
      <c r="E41" s="5"/>
      <c r="F41" s="3" t="s">
        <v>96</v>
      </c>
      <c r="G41" s="3" t="str">
        <f aca="false">IF(G38=C7,"consistent","CHECK: Deals row older/newer than History")</f>
        <v>consistent</v>
      </c>
      <c r="H41" s="5"/>
      <c r="I41" s="5"/>
      <c r="J41" s="5"/>
      <c r="K41" s="5"/>
    </row>
  </sheetData>
  <dataValidations count="2">
    <dataValidation allowBlank="false" errorStyle="stop" operator="between" showDropDown="false" showErrorMessage="false" showInputMessage="false" sqref="C3" type="list">
      <formula1>Deals!$A$2:$A$18</formula1>
      <formula2>0</formula2>
    </dataValidation>
    <dataValidation allowBlank="false" errorStyle="stop" operator="between" showDropDown="false" showErrorMessage="false" showInputMessage="false" sqref="G7" type="list">
      <formula1>"PRICE,DM"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5" min="5" style="1" width="26"/>
    <col collapsed="false" customWidth="true" hidden="false" outlineLevel="0" max="9" min="6" style="1" width="12"/>
    <col collapsed="false" customWidth="true" hidden="false" outlineLevel="0" max="12" min="10" style="1" width="16"/>
    <col collapsed="false" customWidth="true" hidden="false" outlineLevel="0" max="14" min="13" style="1" width="9"/>
    <col collapsed="false" customWidth="true" hidden="false" outlineLevel="0" max="15" min="15" style="1" width="11"/>
    <col collapsed="false" customWidth="true" hidden="false" outlineLevel="0" max="17" min="16" style="1" width="18"/>
    <col collapsed="false" customWidth="true" hidden="false" outlineLevel="0" max="18" min="18" style="1" width="9"/>
    <col collapsed="false" customWidth="true" hidden="false" outlineLevel="0" max="19" min="19" style="1" width="18"/>
    <col collapsed="false" customWidth="true" hidden="false" outlineLevel="0" max="20" min="20" style="1" width="16"/>
    <col collapsed="false" customWidth="true" hidden="false" outlineLevel="0" max="22" min="21" style="1" width="10"/>
    <col collapsed="false" customWidth="true" hidden="false" outlineLevel="0" max="23" min="23" style="1" width="9"/>
    <col collapsed="false" customWidth="true" hidden="false" outlineLevel="0" max="26" min="24" style="1" width="10"/>
    <col collapsed="false" customWidth="true" hidden="false" outlineLevel="0" max="27" min="27" style="1" width="13"/>
    <col collapsed="false" customWidth="true" hidden="false" outlineLevel="0" max="28" min="28" style="1" width="10"/>
    <col collapsed="false" customWidth="true" hidden="false" outlineLevel="0" max="29" min="29" style="1" width="44"/>
  </cols>
  <sheetData>
    <row r="1" customFormat="false" ht="54" hidden="false" customHeight="true" outlineLevel="0" collapsed="false">
      <c r="A1" s="40" t="s">
        <v>97</v>
      </c>
      <c r="B1" s="40" t="s">
        <v>26</v>
      </c>
      <c r="C1" s="40" t="s">
        <v>98</v>
      </c>
      <c r="D1" s="40" t="s">
        <v>99</v>
      </c>
      <c r="E1" s="40" t="s">
        <v>100</v>
      </c>
      <c r="F1" s="40" t="s">
        <v>101</v>
      </c>
      <c r="G1" s="40" t="s">
        <v>29</v>
      </c>
      <c r="H1" s="40" t="s">
        <v>102</v>
      </c>
      <c r="I1" s="40" t="s">
        <v>36</v>
      </c>
      <c r="J1" s="40" t="s">
        <v>39</v>
      </c>
      <c r="K1" s="40" t="s">
        <v>42</v>
      </c>
      <c r="L1" s="40" t="s">
        <v>45</v>
      </c>
      <c r="M1" s="40" t="s">
        <v>48</v>
      </c>
      <c r="N1" s="40" t="s">
        <v>51</v>
      </c>
      <c r="O1" s="40" t="s">
        <v>54</v>
      </c>
      <c r="P1" s="40" t="s">
        <v>103</v>
      </c>
      <c r="Q1" s="40" t="s">
        <v>60</v>
      </c>
      <c r="R1" s="40" t="s">
        <v>63</v>
      </c>
      <c r="S1" s="40" t="s">
        <v>104</v>
      </c>
      <c r="T1" s="40" t="s">
        <v>105</v>
      </c>
      <c r="U1" s="40" t="s">
        <v>87</v>
      </c>
      <c r="V1" s="40" t="s">
        <v>106</v>
      </c>
      <c r="W1" s="40" t="s">
        <v>72</v>
      </c>
      <c r="X1" s="40" t="s">
        <v>75</v>
      </c>
      <c r="Y1" s="40" t="s">
        <v>78</v>
      </c>
      <c r="Z1" s="40" t="s">
        <v>107</v>
      </c>
      <c r="AA1" s="40" t="s">
        <v>83</v>
      </c>
      <c r="AB1" s="40" t="s">
        <v>108</v>
      </c>
      <c r="AC1" s="40" t="s">
        <v>89</v>
      </c>
      <c r="AD1" s="41" t="s">
        <v>109</v>
      </c>
      <c r="AE1" s="41" t="s">
        <v>110</v>
      </c>
      <c r="AF1" s="41" t="s">
        <v>111</v>
      </c>
      <c r="AG1" s="41" t="s">
        <v>112</v>
      </c>
      <c r="AH1" s="41" t="s">
        <v>113</v>
      </c>
      <c r="AI1" s="41" t="s">
        <v>114</v>
      </c>
      <c r="AJ1" s="41" t="s">
        <v>115</v>
      </c>
      <c r="AK1" s="41" t="s">
        <v>116</v>
      </c>
    </row>
    <row r="2" customFormat="false" ht="15" hidden="false" customHeight="true" outlineLevel="0" collapsed="false">
      <c r="A2" s="42" t="s">
        <v>22</v>
      </c>
      <c r="B2" s="42" t="s">
        <v>117</v>
      </c>
      <c r="C2" s="42" t="s">
        <v>118</v>
      </c>
      <c r="D2" s="42" t="s">
        <v>119</v>
      </c>
      <c r="E2" s="42" t="s">
        <v>120</v>
      </c>
      <c r="F2" s="43" t="n">
        <v>46251</v>
      </c>
      <c r="G2" s="43" t="n">
        <v>46251</v>
      </c>
      <c r="H2" s="43" t="n">
        <v>46341</v>
      </c>
      <c r="I2" s="43" t="n">
        <v>57845</v>
      </c>
      <c r="J2" s="44" t="n">
        <v>1413750000</v>
      </c>
      <c r="K2" s="44" t="n">
        <v>110845068.75</v>
      </c>
      <c r="L2" s="44" t="n">
        <v>8507872.5</v>
      </c>
      <c r="M2" s="45" t="n">
        <v>0.0026</v>
      </c>
      <c r="N2" s="45" t="n">
        <v>0.00706260869565217</v>
      </c>
      <c r="O2" s="46" t="n">
        <v>0.02252</v>
      </c>
      <c r="P2" s="44" t="n">
        <v>119356379.69</v>
      </c>
      <c r="Q2" s="44" t="n">
        <v>1500000031.92</v>
      </c>
      <c r="R2" s="46" t="n">
        <v>0.03174</v>
      </c>
      <c r="S2" s="44" t="n">
        <v>123397891.75</v>
      </c>
      <c r="T2" s="44" t="n">
        <v>2257065.08</v>
      </c>
      <c r="U2" s="46" t="n">
        <v>0.0424</v>
      </c>
      <c r="V2" s="46" t="n">
        <v>5.30288455382128E-005</v>
      </c>
      <c r="W2" s="47" t="n">
        <v>1</v>
      </c>
      <c r="X2" s="46" t="n">
        <v>0.75</v>
      </c>
      <c r="Y2" s="46" t="n">
        <v>0.018</v>
      </c>
      <c r="Z2" s="46" t="n">
        <v>0.1</v>
      </c>
      <c r="AA2" s="44" t="n">
        <v>100000</v>
      </c>
      <c r="AB2" s="45" t="n">
        <v>0.001</v>
      </c>
      <c r="AC2" s="42" t="s">
        <v>121</v>
      </c>
      <c r="AD2" s="1" t="s">
        <v>122</v>
      </c>
      <c r="AE2" s="1" t="s">
        <v>123</v>
      </c>
      <c r="AF2" s="1" t="s">
        <v>124</v>
      </c>
      <c r="AG2" s="1" t="s">
        <v>125</v>
      </c>
      <c r="AH2" s="1" t="s">
        <v>126</v>
      </c>
      <c r="AJ2" s="1" t="s">
        <v>127</v>
      </c>
      <c r="AK2" s="1" t="s">
        <v>128</v>
      </c>
    </row>
    <row r="3" customFormat="false" ht="15" hidden="false" customHeight="true" outlineLevel="0" collapsed="false">
      <c r="A3" s="42" t="s">
        <v>129</v>
      </c>
      <c r="B3" s="42" t="s">
        <v>130</v>
      </c>
      <c r="C3" s="42" t="s">
        <v>131</v>
      </c>
      <c r="D3" s="42" t="s">
        <v>119</v>
      </c>
      <c r="E3" s="42" t="s">
        <v>120</v>
      </c>
      <c r="F3" s="43" t="n">
        <v>46223</v>
      </c>
      <c r="G3" s="43" t="n">
        <v>46223</v>
      </c>
      <c r="H3" s="43" t="n">
        <v>46315</v>
      </c>
      <c r="I3" s="43" t="n">
        <v>58276</v>
      </c>
      <c r="J3" s="44" t="n">
        <v>1413750000</v>
      </c>
      <c r="K3" s="44" t="n">
        <v>135243566.25</v>
      </c>
      <c r="L3" s="44" t="n">
        <v>10646700</v>
      </c>
      <c r="M3" s="45" t="n">
        <v>0.0028</v>
      </c>
      <c r="N3" s="45" t="n">
        <v>0.00696521739130435</v>
      </c>
      <c r="O3" s="46" t="n">
        <v>0.02238</v>
      </c>
      <c r="P3" s="44" t="n">
        <v>145889060.68</v>
      </c>
      <c r="Q3" s="44" t="n">
        <v>1500000016.28</v>
      </c>
      <c r="R3" s="46" t="n">
        <v>0.02996</v>
      </c>
      <c r="S3" s="44" t="n">
        <v>150301277.18</v>
      </c>
      <c r="T3" s="44" t="n">
        <v>2411455.06</v>
      </c>
      <c r="U3" s="46" t="n">
        <v>0.0522</v>
      </c>
      <c r="V3" s="46" t="n">
        <v>5.64187260543354E-005</v>
      </c>
      <c r="W3" s="47" t="n">
        <v>1</v>
      </c>
      <c r="X3" s="46" t="n">
        <v>0.75</v>
      </c>
      <c r="Y3" s="46" t="n">
        <v>0.018</v>
      </c>
      <c r="Z3" s="46" t="n">
        <v>0.1</v>
      </c>
      <c r="AA3" s="44" t="n">
        <v>40000</v>
      </c>
      <c r="AB3" s="45" t="n">
        <v>0.001</v>
      </c>
      <c r="AC3" s="42" t="s">
        <v>132</v>
      </c>
      <c r="AD3" s="1" t="s">
        <v>133</v>
      </c>
      <c r="AE3" s="1" t="s">
        <v>134</v>
      </c>
      <c r="AF3" s="1" t="s">
        <v>135</v>
      </c>
      <c r="AG3" s="1" t="s">
        <v>136</v>
      </c>
      <c r="AH3" s="1" t="s">
        <v>137</v>
      </c>
      <c r="AJ3" s="1" t="s">
        <v>127</v>
      </c>
      <c r="AK3" s="1" t="s">
        <v>138</v>
      </c>
    </row>
    <row r="4" customFormat="false" ht="15" hidden="false" customHeight="true" outlineLevel="0" collapsed="false">
      <c r="A4" s="42" t="s">
        <v>139</v>
      </c>
      <c r="B4" s="42" t="s">
        <v>140</v>
      </c>
      <c r="C4" s="42" t="s">
        <v>141</v>
      </c>
      <c r="D4" s="42" t="s">
        <v>119</v>
      </c>
      <c r="E4" s="42" t="s">
        <v>142</v>
      </c>
      <c r="F4" s="48"/>
      <c r="G4" s="48"/>
      <c r="H4" s="48"/>
      <c r="I4" s="48"/>
      <c r="J4" s="49" t="n">
        <v>1134000000</v>
      </c>
      <c r="K4" s="49"/>
      <c r="L4" s="49"/>
      <c r="M4" s="50"/>
      <c r="N4" s="50"/>
      <c r="O4" s="51"/>
      <c r="P4" s="49"/>
      <c r="Q4" s="49"/>
      <c r="R4" s="51"/>
      <c r="S4" s="49"/>
      <c r="T4" s="49"/>
      <c r="U4" s="51"/>
      <c r="V4" s="51"/>
      <c r="W4" s="52"/>
      <c r="X4" s="51"/>
      <c r="Y4" s="51"/>
      <c r="Z4" s="51"/>
      <c r="AA4" s="49"/>
      <c r="AB4" s="50"/>
      <c r="AC4" s="42" t="s">
        <v>143</v>
      </c>
      <c r="AD4" s="1" t="s">
        <v>144</v>
      </c>
      <c r="AE4" s="1" t="s">
        <v>145</v>
      </c>
      <c r="AG4" s="1" t="s">
        <v>146</v>
      </c>
      <c r="AH4" s="1" t="s">
        <v>144</v>
      </c>
      <c r="AJ4" s="1" t="s">
        <v>127</v>
      </c>
      <c r="AK4" s="1" t="s">
        <v>147</v>
      </c>
    </row>
    <row r="5" customFormat="false" ht="15" hidden="false" customHeight="true" outlineLevel="0" collapsed="false">
      <c r="A5" s="42" t="s">
        <v>148</v>
      </c>
      <c r="B5" s="42" t="s">
        <v>149</v>
      </c>
      <c r="C5" s="42" t="s">
        <v>150</v>
      </c>
      <c r="D5" s="42" t="s">
        <v>119</v>
      </c>
      <c r="E5" s="42" t="s">
        <v>142</v>
      </c>
      <c r="F5" s="48"/>
      <c r="G5" s="48"/>
      <c r="H5" s="48"/>
      <c r="I5" s="53" t="n">
        <v>58271</v>
      </c>
      <c r="J5" s="49"/>
      <c r="K5" s="49"/>
      <c r="L5" s="49"/>
      <c r="M5" s="50"/>
      <c r="N5" s="50"/>
      <c r="O5" s="51"/>
      <c r="P5" s="49"/>
      <c r="Q5" s="49"/>
      <c r="R5" s="51"/>
      <c r="S5" s="49"/>
      <c r="T5" s="49"/>
      <c r="U5" s="51"/>
      <c r="V5" s="51"/>
      <c r="W5" s="52"/>
      <c r="X5" s="51"/>
      <c r="Y5" s="51"/>
      <c r="Z5" s="51"/>
      <c r="AA5" s="49"/>
      <c r="AB5" s="50"/>
      <c r="AC5" s="42" t="s">
        <v>151</v>
      </c>
      <c r="AD5" s="1" t="s">
        <v>144</v>
      </c>
      <c r="AE5" s="1" t="s">
        <v>145</v>
      </c>
      <c r="AG5" s="1" t="s">
        <v>146</v>
      </c>
      <c r="AH5" s="1" t="s">
        <v>144</v>
      </c>
      <c r="AJ5" s="1" t="s">
        <v>127</v>
      </c>
    </row>
    <row r="6" customFormat="false" ht="15" hidden="false" customHeight="true" outlineLevel="0" collapsed="false">
      <c r="A6" s="42" t="s">
        <v>152</v>
      </c>
      <c r="B6" s="42" t="s">
        <v>153</v>
      </c>
      <c r="C6" s="42" t="s">
        <v>154</v>
      </c>
      <c r="D6" s="42" t="s">
        <v>119</v>
      </c>
      <c r="E6" s="42" t="s">
        <v>142</v>
      </c>
      <c r="F6" s="48"/>
      <c r="G6" s="48"/>
      <c r="H6" s="48"/>
      <c r="I6" s="48"/>
      <c r="J6" s="49"/>
      <c r="K6" s="49"/>
      <c r="L6" s="49"/>
      <c r="M6" s="50"/>
      <c r="N6" s="50"/>
      <c r="O6" s="51"/>
      <c r="P6" s="49"/>
      <c r="Q6" s="49"/>
      <c r="R6" s="51"/>
      <c r="S6" s="49"/>
      <c r="T6" s="49"/>
      <c r="U6" s="51"/>
      <c r="V6" s="51"/>
      <c r="W6" s="52"/>
      <c r="X6" s="51"/>
      <c r="Y6" s="51"/>
      <c r="Z6" s="51"/>
      <c r="AA6" s="49"/>
      <c r="AB6" s="50"/>
      <c r="AC6" s="42" t="s">
        <v>155</v>
      </c>
      <c r="AD6" s="1" t="s">
        <v>144</v>
      </c>
      <c r="AE6" s="1" t="s">
        <v>145</v>
      </c>
      <c r="AG6" s="1" t="s">
        <v>146</v>
      </c>
      <c r="AH6" s="1" t="s">
        <v>144</v>
      </c>
      <c r="AJ6" s="1" t="s">
        <v>127</v>
      </c>
    </row>
    <row r="7" customFormat="false" ht="15" hidden="false" customHeight="true" outlineLevel="0" collapsed="false">
      <c r="A7" s="42" t="s">
        <v>156</v>
      </c>
      <c r="B7" s="42" t="s">
        <v>157</v>
      </c>
      <c r="C7" s="42" t="s">
        <v>158</v>
      </c>
      <c r="D7" s="42" t="s">
        <v>159</v>
      </c>
      <c r="E7" s="42" t="s">
        <v>160</v>
      </c>
      <c r="F7" s="53" t="n">
        <v>44860</v>
      </c>
      <c r="G7" s="53" t="n">
        <v>44860</v>
      </c>
      <c r="H7" s="53" t="n">
        <v>44952</v>
      </c>
      <c r="I7" s="53" t="n">
        <v>52530</v>
      </c>
      <c r="J7" s="49" t="n">
        <v>1944000000</v>
      </c>
      <c r="K7" s="49" t="n">
        <v>210064000</v>
      </c>
      <c r="L7" s="49"/>
      <c r="M7" s="50" t="n">
        <v>0.0012</v>
      </c>
      <c r="N7" s="50"/>
      <c r="O7" s="51"/>
      <c r="P7" s="49"/>
      <c r="Q7" s="49"/>
      <c r="R7" s="51"/>
      <c r="S7" s="49"/>
      <c r="T7" s="49"/>
      <c r="U7" s="51"/>
      <c r="V7" s="51"/>
      <c r="W7" s="52"/>
      <c r="X7" s="51"/>
      <c r="Y7" s="51"/>
      <c r="Z7" s="51" t="n">
        <v>0.1</v>
      </c>
      <c r="AA7" s="49"/>
      <c r="AB7" s="50"/>
      <c r="AC7" s="42" t="s">
        <v>161</v>
      </c>
      <c r="AD7" s="1" t="s">
        <v>162</v>
      </c>
      <c r="AE7" s="1" t="s">
        <v>145</v>
      </c>
      <c r="AF7" s="1" t="s">
        <v>163</v>
      </c>
      <c r="AG7" s="1" t="s">
        <v>164</v>
      </c>
      <c r="AH7" s="1" t="s">
        <v>165</v>
      </c>
      <c r="AJ7" s="1" t="s">
        <v>127</v>
      </c>
      <c r="AK7" s="1" t="s">
        <v>166</v>
      </c>
    </row>
    <row r="8" customFormat="false" ht="15" hidden="false" customHeight="true" outlineLevel="0" collapsed="false">
      <c r="A8" s="42" t="s">
        <v>167</v>
      </c>
      <c r="B8" s="42" t="s">
        <v>168</v>
      </c>
      <c r="C8" s="42" t="s">
        <v>169</v>
      </c>
      <c r="D8" s="42" t="s">
        <v>159</v>
      </c>
      <c r="E8" s="42" t="s">
        <v>160</v>
      </c>
      <c r="F8" s="48"/>
      <c r="G8" s="48"/>
      <c r="H8" s="48"/>
      <c r="I8" s="53" t="n">
        <v>52715</v>
      </c>
      <c r="J8" s="49"/>
      <c r="K8" s="49"/>
      <c r="L8" s="49"/>
      <c r="M8" s="50"/>
      <c r="N8" s="50"/>
      <c r="O8" s="51"/>
      <c r="P8" s="49"/>
      <c r="Q8" s="49"/>
      <c r="R8" s="51"/>
      <c r="S8" s="49"/>
      <c r="T8" s="49"/>
      <c r="U8" s="51"/>
      <c r="V8" s="51"/>
      <c r="W8" s="52"/>
      <c r="X8" s="51"/>
      <c r="Y8" s="51"/>
      <c r="Z8" s="51"/>
      <c r="AA8" s="49"/>
      <c r="AB8" s="50"/>
      <c r="AC8" s="42" t="s">
        <v>170</v>
      </c>
      <c r="AD8" s="1" t="s">
        <v>171</v>
      </c>
      <c r="AE8" s="1" t="s">
        <v>145</v>
      </c>
      <c r="AG8" s="1" t="s">
        <v>172</v>
      </c>
      <c r="AH8" s="1" t="s">
        <v>144</v>
      </c>
      <c r="AJ8" s="1" t="s">
        <v>127</v>
      </c>
      <c r="AK8" s="1" t="s">
        <v>173</v>
      </c>
    </row>
    <row r="9" customFormat="false" ht="15" hidden="false" customHeight="true" outlineLevel="0" collapsed="false">
      <c r="A9" s="42" t="s">
        <v>174</v>
      </c>
      <c r="B9" s="42" t="s">
        <v>175</v>
      </c>
      <c r="C9" s="42" t="s">
        <v>176</v>
      </c>
      <c r="D9" s="42" t="s">
        <v>159</v>
      </c>
      <c r="E9" s="42" t="s">
        <v>160</v>
      </c>
      <c r="F9" s="48"/>
      <c r="G9" s="48"/>
      <c r="H9" s="48"/>
      <c r="I9" s="53" t="n">
        <v>54480</v>
      </c>
      <c r="J9" s="49"/>
      <c r="K9" s="49"/>
      <c r="L9" s="49"/>
      <c r="M9" s="50"/>
      <c r="N9" s="50"/>
      <c r="O9" s="51"/>
      <c r="P9" s="49"/>
      <c r="Q9" s="49"/>
      <c r="R9" s="51"/>
      <c r="S9" s="49"/>
      <c r="T9" s="49"/>
      <c r="U9" s="51"/>
      <c r="V9" s="51"/>
      <c r="W9" s="52"/>
      <c r="X9" s="51"/>
      <c r="Y9" s="51"/>
      <c r="Z9" s="51"/>
      <c r="AA9" s="49"/>
      <c r="AB9" s="50"/>
      <c r="AC9" s="42" t="s">
        <v>170</v>
      </c>
      <c r="AD9" s="1" t="s">
        <v>177</v>
      </c>
      <c r="AE9" s="1" t="s">
        <v>145</v>
      </c>
      <c r="AG9" s="1" t="s">
        <v>178</v>
      </c>
      <c r="AH9" s="1" t="s">
        <v>144</v>
      </c>
      <c r="AJ9" s="1" t="s">
        <v>127</v>
      </c>
      <c r="AK9" s="1" t="s">
        <v>179</v>
      </c>
    </row>
    <row r="10" customFormat="false" ht="15" hidden="false" customHeight="true" outlineLevel="0" collapsed="false">
      <c r="A10" s="42" t="s">
        <v>180</v>
      </c>
      <c r="B10" s="42" t="s">
        <v>181</v>
      </c>
      <c r="C10" s="42" t="s">
        <v>176</v>
      </c>
      <c r="D10" s="42" t="s">
        <v>159</v>
      </c>
      <c r="E10" s="42" t="s">
        <v>160</v>
      </c>
      <c r="F10" s="48"/>
      <c r="G10" s="48"/>
      <c r="H10" s="48"/>
      <c r="I10" s="53" t="n">
        <v>54480</v>
      </c>
      <c r="J10" s="49"/>
      <c r="K10" s="49"/>
      <c r="L10" s="49"/>
      <c r="M10" s="50"/>
      <c r="N10" s="50"/>
      <c r="O10" s="51"/>
      <c r="P10" s="49"/>
      <c r="Q10" s="49"/>
      <c r="R10" s="51"/>
      <c r="S10" s="49"/>
      <c r="T10" s="49"/>
      <c r="U10" s="51"/>
      <c r="V10" s="51"/>
      <c r="W10" s="52"/>
      <c r="X10" s="51"/>
      <c r="Y10" s="51"/>
      <c r="Z10" s="51"/>
      <c r="AA10" s="49"/>
      <c r="AB10" s="50"/>
      <c r="AC10" s="42" t="s">
        <v>170</v>
      </c>
      <c r="AD10" s="1" t="s">
        <v>177</v>
      </c>
      <c r="AE10" s="1" t="s">
        <v>145</v>
      </c>
      <c r="AG10" s="1" t="s">
        <v>178</v>
      </c>
      <c r="AH10" s="1" t="s">
        <v>144</v>
      </c>
      <c r="AJ10" s="1" t="s">
        <v>127</v>
      </c>
      <c r="AK10" s="1" t="s">
        <v>179</v>
      </c>
    </row>
    <row r="11" customFormat="false" ht="15" hidden="false" customHeight="true" outlineLevel="0" collapsed="false">
      <c r="A11" s="42" t="s">
        <v>182</v>
      </c>
      <c r="B11" s="42" t="s">
        <v>183</v>
      </c>
      <c r="C11" s="42" t="s">
        <v>184</v>
      </c>
      <c r="D11" s="42" t="s">
        <v>159</v>
      </c>
      <c r="E11" s="42" t="s">
        <v>160</v>
      </c>
      <c r="F11" s="53" t="n">
        <v>44161</v>
      </c>
      <c r="G11" s="53" t="n">
        <v>44161</v>
      </c>
      <c r="H11" s="53" t="n">
        <v>44253</v>
      </c>
      <c r="I11" s="53" t="n">
        <v>54480</v>
      </c>
      <c r="J11" s="49" t="n">
        <v>1635400000</v>
      </c>
      <c r="K11" s="49"/>
      <c r="L11" s="49"/>
      <c r="M11" s="50"/>
      <c r="N11" s="50"/>
      <c r="O11" s="51"/>
      <c r="P11" s="49"/>
      <c r="Q11" s="49"/>
      <c r="R11" s="51"/>
      <c r="S11" s="49"/>
      <c r="T11" s="49"/>
      <c r="U11" s="51"/>
      <c r="V11" s="51"/>
      <c r="W11" s="52"/>
      <c r="X11" s="51"/>
      <c r="Y11" s="51"/>
      <c r="Z11" s="51"/>
      <c r="AA11" s="49"/>
      <c r="AB11" s="50"/>
      <c r="AC11" s="42" t="s">
        <v>185</v>
      </c>
      <c r="AD11" s="1" t="s">
        <v>186</v>
      </c>
      <c r="AE11" s="1" t="s">
        <v>145</v>
      </c>
      <c r="AG11" s="1" t="s">
        <v>187</v>
      </c>
      <c r="AH11" s="1" t="s">
        <v>188</v>
      </c>
      <c r="AJ11" s="1" t="s">
        <v>127</v>
      </c>
      <c r="AK11" s="1" t="s">
        <v>189</v>
      </c>
    </row>
    <row r="12" customFormat="false" ht="15" hidden="false" customHeight="true" outlineLevel="0" collapsed="false">
      <c r="A12" s="42" t="s">
        <v>190</v>
      </c>
      <c r="B12" s="42" t="s">
        <v>191</v>
      </c>
      <c r="C12" s="42" t="s">
        <v>192</v>
      </c>
      <c r="D12" s="42" t="s">
        <v>159</v>
      </c>
      <c r="E12" s="42" t="s">
        <v>160</v>
      </c>
      <c r="F12" s="48"/>
      <c r="G12" s="48"/>
      <c r="H12" s="48"/>
      <c r="I12" s="53" t="n">
        <v>54906</v>
      </c>
      <c r="J12" s="49"/>
      <c r="K12" s="49"/>
      <c r="L12" s="49"/>
      <c r="M12" s="50"/>
      <c r="N12" s="50"/>
      <c r="O12" s="51"/>
      <c r="P12" s="49"/>
      <c r="Q12" s="49"/>
      <c r="R12" s="51"/>
      <c r="S12" s="49"/>
      <c r="T12" s="49"/>
      <c r="U12" s="51"/>
      <c r="V12" s="51"/>
      <c r="W12" s="52"/>
      <c r="X12" s="51"/>
      <c r="Y12" s="51"/>
      <c r="Z12" s="51"/>
      <c r="AA12" s="49"/>
      <c r="AB12" s="50"/>
      <c r="AC12" s="42" t="s">
        <v>193</v>
      </c>
      <c r="AD12" s="1" t="s">
        <v>194</v>
      </c>
      <c r="AE12" s="1" t="s">
        <v>145</v>
      </c>
      <c r="AG12" s="1" t="s">
        <v>195</v>
      </c>
      <c r="AH12" s="1" t="s">
        <v>196</v>
      </c>
      <c r="AJ12" s="1" t="s">
        <v>127</v>
      </c>
      <c r="AK12" s="1" t="s">
        <v>197</v>
      </c>
    </row>
    <row r="13" customFormat="false" ht="15" hidden="false" customHeight="true" outlineLevel="0" collapsed="false">
      <c r="A13" s="42" t="s">
        <v>198</v>
      </c>
      <c r="B13" s="42" t="s">
        <v>199</v>
      </c>
      <c r="C13" s="42" t="s">
        <v>200</v>
      </c>
      <c r="D13" s="42" t="s">
        <v>159</v>
      </c>
      <c r="E13" s="42" t="s">
        <v>160</v>
      </c>
      <c r="F13" s="48"/>
      <c r="G13" s="48"/>
      <c r="H13" s="48"/>
      <c r="I13" s="53" t="n">
        <v>54596</v>
      </c>
      <c r="J13" s="49"/>
      <c r="K13" s="49"/>
      <c r="L13" s="49"/>
      <c r="M13" s="50"/>
      <c r="N13" s="50"/>
      <c r="O13" s="51"/>
      <c r="P13" s="49"/>
      <c r="Q13" s="49"/>
      <c r="R13" s="51"/>
      <c r="S13" s="49"/>
      <c r="T13" s="49"/>
      <c r="U13" s="51"/>
      <c r="V13" s="51"/>
      <c r="W13" s="52"/>
      <c r="X13" s="51"/>
      <c r="Y13" s="51"/>
      <c r="Z13" s="51"/>
      <c r="AA13" s="49"/>
      <c r="AB13" s="50"/>
      <c r="AC13" s="42" t="s">
        <v>201</v>
      </c>
      <c r="AD13" s="1" t="s">
        <v>202</v>
      </c>
      <c r="AE13" s="1" t="s">
        <v>145</v>
      </c>
      <c r="AG13" s="1" t="s">
        <v>203</v>
      </c>
      <c r="AH13" s="1" t="s">
        <v>204</v>
      </c>
      <c r="AJ13" s="1" t="s">
        <v>127</v>
      </c>
      <c r="AK13" s="1" t="s">
        <v>205</v>
      </c>
    </row>
    <row r="14" customFormat="false" ht="15" hidden="false" customHeight="true" outlineLevel="0" collapsed="false">
      <c r="A14" s="42" t="s">
        <v>206</v>
      </c>
      <c r="B14" s="42" t="s">
        <v>207</v>
      </c>
      <c r="C14" s="42" t="s">
        <v>208</v>
      </c>
      <c r="D14" s="42" t="s">
        <v>159</v>
      </c>
      <c r="E14" s="42" t="s">
        <v>209</v>
      </c>
      <c r="F14" s="43" t="n">
        <v>46191</v>
      </c>
      <c r="G14" s="43" t="n">
        <v>46191</v>
      </c>
      <c r="H14" s="43" t="n">
        <v>46283</v>
      </c>
      <c r="I14" s="43" t="n">
        <v>53314</v>
      </c>
      <c r="J14" s="44" t="n">
        <v>1340600000</v>
      </c>
      <c r="K14" s="44" t="n">
        <v>81800462.68</v>
      </c>
      <c r="L14" s="44" t="n">
        <v>100840001.52</v>
      </c>
      <c r="M14" s="45" t="n">
        <v>0.0014</v>
      </c>
      <c r="N14" s="45" t="n">
        <v>0.00450844904763147</v>
      </c>
      <c r="O14" s="46" t="n">
        <v>0.02408</v>
      </c>
      <c r="P14" s="44" t="n">
        <v>180964103</v>
      </c>
      <c r="Q14" s="44" t="n">
        <v>1430000010.21</v>
      </c>
      <c r="R14" s="46" t="n">
        <v>0.0326</v>
      </c>
      <c r="S14" s="44" t="n">
        <v>187981997.18</v>
      </c>
      <c r="T14" s="44" t="n">
        <v>3481000</v>
      </c>
      <c r="U14" s="46" t="n">
        <v>0.0745</v>
      </c>
      <c r="V14" s="46" t="n">
        <v>0.0899461679424897</v>
      </c>
      <c r="W14" s="47" t="n">
        <v>1</v>
      </c>
      <c r="X14" s="46" t="n">
        <v>1</v>
      </c>
      <c r="Y14" s="46" t="n">
        <v>0.02</v>
      </c>
      <c r="Z14" s="46" t="n">
        <v>0.1</v>
      </c>
      <c r="AA14" s="44" t="n">
        <v>36500</v>
      </c>
      <c r="AB14" s="45" t="n">
        <v>0</v>
      </c>
      <c r="AC14" s="42" t="s">
        <v>210</v>
      </c>
      <c r="AD14" s="1" t="s">
        <v>211</v>
      </c>
      <c r="AE14" s="1" t="s">
        <v>145</v>
      </c>
      <c r="AG14" s="1" t="s">
        <v>212</v>
      </c>
      <c r="AH14" s="1" t="s">
        <v>213</v>
      </c>
      <c r="AI14" s="1" t="s">
        <v>214</v>
      </c>
      <c r="AJ14" s="1" t="s">
        <v>127</v>
      </c>
      <c r="AK14" s="1" t="s">
        <v>215</v>
      </c>
    </row>
    <row r="15" customFormat="false" ht="15" hidden="false" customHeight="true" outlineLevel="0" collapsed="false">
      <c r="A15" s="42" t="s">
        <v>216</v>
      </c>
      <c r="B15" s="42" t="s">
        <v>217</v>
      </c>
      <c r="C15" s="42" t="s">
        <v>218</v>
      </c>
      <c r="D15" s="42" t="s">
        <v>159</v>
      </c>
      <c r="E15" s="42" t="s">
        <v>209</v>
      </c>
      <c r="F15" s="48"/>
      <c r="G15" s="48"/>
      <c r="H15" s="48"/>
      <c r="I15" s="48"/>
      <c r="J15" s="49"/>
      <c r="K15" s="49"/>
      <c r="L15" s="49"/>
      <c r="M15" s="50"/>
      <c r="N15" s="50"/>
      <c r="O15" s="51"/>
      <c r="P15" s="49"/>
      <c r="Q15" s="49"/>
      <c r="R15" s="51"/>
      <c r="S15" s="49"/>
      <c r="T15" s="49"/>
      <c r="U15" s="51"/>
      <c r="V15" s="51"/>
      <c r="W15" s="52"/>
      <c r="X15" s="51"/>
      <c r="Y15" s="51"/>
      <c r="Z15" s="51"/>
      <c r="AA15" s="49"/>
      <c r="AB15" s="50"/>
      <c r="AC15" s="42" t="s">
        <v>219</v>
      </c>
      <c r="AD15" s="1" t="s">
        <v>144</v>
      </c>
      <c r="AE15" s="1" t="s">
        <v>145</v>
      </c>
      <c r="AG15" s="1" t="s">
        <v>146</v>
      </c>
      <c r="AH15" s="1" t="s">
        <v>144</v>
      </c>
      <c r="AJ15" s="1" t="s">
        <v>127</v>
      </c>
      <c r="AK15" s="1" t="s">
        <v>220</v>
      </c>
    </row>
    <row r="16" customFormat="false" ht="15" hidden="false" customHeight="true" outlineLevel="0" collapsed="false">
      <c r="A16" s="42" t="s">
        <v>221</v>
      </c>
      <c r="B16" s="42" t="s">
        <v>222</v>
      </c>
      <c r="C16" s="42" t="s">
        <v>223</v>
      </c>
      <c r="D16" s="42" t="s">
        <v>159</v>
      </c>
      <c r="E16" s="42" t="s">
        <v>224</v>
      </c>
      <c r="F16" s="54" t="n">
        <v>43753</v>
      </c>
      <c r="G16" s="53" t="n">
        <v>43753</v>
      </c>
      <c r="H16" s="53" t="n">
        <v>43845</v>
      </c>
      <c r="I16" s="54" t="n">
        <v>54803</v>
      </c>
      <c r="J16" s="23" t="n">
        <v>1083200000</v>
      </c>
      <c r="K16" s="49" t="n">
        <v>217021000</v>
      </c>
      <c r="L16" s="49"/>
      <c r="M16" s="55" t="n">
        <v>0.0013</v>
      </c>
      <c r="N16" s="50"/>
      <c r="O16" s="51"/>
      <c r="P16" s="49"/>
      <c r="Q16" s="23" t="n">
        <v>1600000049.35</v>
      </c>
      <c r="R16" s="51"/>
      <c r="S16" s="49"/>
      <c r="T16" s="49"/>
      <c r="U16" s="51"/>
      <c r="V16" s="51"/>
      <c r="W16" s="52"/>
      <c r="X16" s="51"/>
      <c r="Y16" s="51"/>
      <c r="Z16" s="16" t="n">
        <v>0.1</v>
      </c>
      <c r="AA16" s="49"/>
      <c r="AB16" s="50"/>
      <c r="AC16" s="42" t="s">
        <v>225</v>
      </c>
      <c r="AD16" s="1" t="s">
        <v>226</v>
      </c>
      <c r="AE16" s="1" t="s">
        <v>145</v>
      </c>
      <c r="AG16" s="1" t="s">
        <v>227</v>
      </c>
      <c r="AH16" s="1" t="s">
        <v>228</v>
      </c>
      <c r="AJ16" s="1" t="s">
        <v>229</v>
      </c>
      <c r="AK16" s="1" t="s">
        <v>230</v>
      </c>
    </row>
    <row r="17" customFormat="false" ht="15" hidden="false" customHeight="true" outlineLevel="0" collapsed="false">
      <c r="A17" s="42" t="s">
        <v>231</v>
      </c>
      <c r="B17" s="42" t="s">
        <v>232</v>
      </c>
      <c r="C17" s="42" t="s">
        <v>233</v>
      </c>
      <c r="D17" s="42" t="s">
        <v>159</v>
      </c>
      <c r="E17" s="42" t="s">
        <v>224</v>
      </c>
      <c r="F17" s="48"/>
      <c r="G17" s="48"/>
      <c r="H17" s="48"/>
      <c r="I17" s="48"/>
      <c r="J17" s="49" t="n">
        <v>500000000</v>
      </c>
      <c r="K17" s="49"/>
      <c r="L17" s="49"/>
      <c r="M17" s="50"/>
      <c r="N17" s="50"/>
      <c r="O17" s="51"/>
      <c r="P17" s="49"/>
      <c r="Q17" s="49"/>
      <c r="R17" s="51"/>
      <c r="S17" s="49"/>
      <c r="T17" s="49"/>
      <c r="U17" s="51"/>
      <c r="V17" s="51"/>
      <c r="W17" s="52"/>
      <c r="X17" s="51"/>
      <c r="Y17" s="51"/>
      <c r="Z17" s="51"/>
      <c r="AA17" s="49"/>
      <c r="AB17" s="50"/>
      <c r="AC17" s="42" t="s">
        <v>234</v>
      </c>
      <c r="AD17" s="1" t="s">
        <v>226</v>
      </c>
      <c r="AE17" s="1" t="s">
        <v>145</v>
      </c>
      <c r="AG17" s="1" t="s">
        <v>146</v>
      </c>
      <c r="AH17" s="1" t="s">
        <v>144</v>
      </c>
      <c r="AJ17" s="1" t="s">
        <v>127</v>
      </c>
      <c r="AK17" s="1" t="s">
        <v>235</v>
      </c>
    </row>
    <row r="18" customFormat="false" ht="15" hidden="false" customHeight="true" outlineLevel="0" collapsed="false">
      <c r="A18" s="42" t="s">
        <v>236</v>
      </c>
      <c r="B18" s="42" t="s">
        <v>237</v>
      </c>
      <c r="C18" s="42" t="s">
        <v>233</v>
      </c>
      <c r="D18" s="42" t="s">
        <v>159</v>
      </c>
      <c r="E18" s="42" t="s">
        <v>224</v>
      </c>
      <c r="F18" s="48"/>
      <c r="G18" s="48"/>
      <c r="H18" s="48"/>
      <c r="I18" s="48"/>
      <c r="J18" s="49" t="n">
        <v>236200000</v>
      </c>
      <c r="K18" s="49"/>
      <c r="L18" s="49"/>
      <c r="M18" s="50"/>
      <c r="N18" s="50"/>
      <c r="O18" s="51"/>
      <c r="P18" s="49"/>
      <c r="Q18" s="49"/>
      <c r="R18" s="51"/>
      <c r="S18" s="49"/>
      <c r="T18" s="49"/>
      <c r="U18" s="51"/>
      <c r="V18" s="51"/>
      <c r="W18" s="52"/>
      <c r="X18" s="51"/>
      <c r="Y18" s="51"/>
      <c r="Z18" s="51"/>
      <c r="AA18" s="49"/>
      <c r="AB18" s="50"/>
      <c r="AC18" s="42" t="s">
        <v>234</v>
      </c>
      <c r="AD18" s="1" t="s">
        <v>226</v>
      </c>
      <c r="AE18" s="1" t="s">
        <v>145</v>
      </c>
      <c r="AG18" s="1" t="s">
        <v>146</v>
      </c>
      <c r="AH18" s="1" t="s">
        <v>144</v>
      </c>
      <c r="AJ18" s="1" t="s">
        <v>127</v>
      </c>
      <c r="AK18" s="1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4"/>
  </cols>
  <sheetData>
    <row r="1" customFormat="false" ht="15" hidden="false" customHeight="true" outlineLevel="0" collapsed="false">
      <c r="A1" s="4" t="s">
        <v>238</v>
      </c>
      <c r="B1" s="5"/>
      <c r="C1" s="5"/>
      <c r="D1" s="5"/>
    </row>
    <row r="2" customFormat="false" ht="15" hidden="false" customHeight="true" outlineLevel="0" collapsed="false">
      <c r="A2" s="5"/>
      <c r="B2" s="5"/>
      <c r="C2" s="5"/>
      <c r="D2" s="5"/>
    </row>
    <row r="3" customFormat="false" ht="15" hidden="false" customHeight="true" outlineLevel="0" collapsed="false">
      <c r="A3" s="40" t="s">
        <v>239</v>
      </c>
      <c r="B3" s="40" t="s">
        <v>240</v>
      </c>
      <c r="C3" s="40" t="s">
        <v>241</v>
      </c>
      <c r="D3" s="40" t="s">
        <v>242</v>
      </c>
    </row>
    <row r="4" customFormat="false" ht="15" hidden="false" customHeight="true" outlineLevel="0" collapsed="false">
      <c r="A4" s="3" t="n">
        <v>1</v>
      </c>
      <c r="B4" s="10" t="n">
        <f aca="false">Engine!C11</f>
        <v>46342</v>
      </c>
      <c r="C4" s="56"/>
      <c r="D4" s="57" t="n">
        <f aca="false">IF(AND(Inputs!$G$18=1,C4&lt;&gt;""),C4,Inputs!$G$17)</f>
        <v>0.02252</v>
      </c>
    </row>
    <row r="5" customFormat="false" ht="15" hidden="false" customHeight="true" outlineLevel="0" collapsed="false">
      <c r="A5" s="3" t="n">
        <v>2</v>
      </c>
      <c r="B5" s="10" t="n">
        <f aca="false">Engine!C12</f>
        <v>46433</v>
      </c>
      <c r="C5" s="56"/>
      <c r="D5" s="57" t="n">
        <f aca="false">IF(AND(Inputs!$G$18=1,C5&lt;&gt;""),C5,Inputs!$G$17)</f>
        <v>0.02252</v>
      </c>
    </row>
    <row r="6" customFormat="false" ht="15" hidden="false" customHeight="true" outlineLevel="0" collapsed="false">
      <c r="A6" s="3" t="n">
        <v>3</v>
      </c>
      <c r="B6" s="10" t="n">
        <f aca="false">Engine!C13</f>
        <v>46524</v>
      </c>
      <c r="C6" s="56"/>
      <c r="D6" s="57" t="n">
        <f aca="false">IF(AND(Inputs!$G$18=1,C6&lt;&gt;""),C6,Inputs!$G$17)</f>
        <v>0.02252</v>
      </c>
    </row>
    <row r="7" customFormat="false" ht="15" hidden="false" customHeight="true" outlineLevel="0" collapsed="false">
      <c r="A7" s="3" t="n">
        <v>4</v>
      </c>
      <c r="B7" s="10" t="n">
        <f aca="false">Engine!C14</f>
        <v>46615</v>
      </c>
      <c r="C7" s="56"/>
      <c r="D7" s="57" t="n">
        <f aca="false">IF(AND(Inputs!$G$18=1,C7&lt;&gt;""),C7,Inputs!$G$17)</f>
        <v>0.02252</v>
      </c>
    </row>
    <row r="8" customFormat="false" ht="15" hidden="false" customHeight="true" outlineLevel="0" collapsed="false">
      <c r="A8" s="3" t="n">
        <v>5</v>
      </c>
      <c r="B8" s="10" t="n">
        <f aca="false">Engine!C15</f>
        <v>46706</v>
      </c>
      <c r="C8" s="56"/>
      <c r="D8" s="57" t="n">
        <f aca="false">IF(AND(Inputs!$G$18=1,C8&lt;&gt;""),C8,Inputs!$G$17)</f>
        <v>0.02252</v>
      </c>
    </row>
    <row r="9" customFormat="false" ht="15" hidden="false" customHeight="true" outlineLevel="0" collapsed="false">
      <c r="A9" s="3" t="n">
        <v>6</v>
      </c>
      <c r="B9" s="10" t="n">
        <f aca="false">Engine!C16</f>
        <v>46798</v>
      </c>
      <c r="C9" s="56"/>
      <c r="D9" s="57" t="n">
        <f aca="false">IF(AND(Inputs!$G$18=1,C9&lt;&gt;""),C9,Inputs!$G$17)</f>
        <v>0.02252</v>
      </c>
    </row>
    <row r="10" customFormat="false" ht="15" hidden="false" customHeight="true" outlineLevel="0" collapsed="false">
      <c r="A10" s="3" t="n">
        <v>7</v>
      </c>
      <c r="B10" s="10" t="n">
        <f aca="false">Engine!C17</f>
        <v>46888</v>
      </c>
      <c r="C10" s="56"/>
      <c r="D10" s="57" t="n">
        <f aca="false">IF(AND(Inputs!$G$18=1,C10&lt;&gt;""),C10,Inputs!$G$17)</f>
        <v>0.02252</v>
      </c>
    </row>
    <row r="11" customFormat="false" ht="15" hidden="false" customHeight="true" outlineLevel="0" collapsed="false">
      <c r="A11" s="3" t="n">
        <v>8</v>
      </c>
      <c r="B11" s="10" t="n">
        <f aca="false">Engine!C18</f>
        <v>46980</v>
      </c>
      <c r="C11" s="56"/>
      <c r="D11" s="57" t="n">
        <f aca="false">IF(AND(Inputs!$G$18=1,C11&lt;&gt;""),C11,Inputs!$G$17)</f>
        <v>0.02252</v>
      </c>
    </row>
    <row r="12" customFormat="false" ht="15" hidden="false" customHeight="true" outlineLevel="0" collapsed="false">
      <c r="A12" s="3" t="n">
        <v>9</v>
      </c>
      <c r="B12" s="10" t="n">
        <f aca="false">Engine!C19</f>
        <v>47072</v>
      </c>
      <c r="C12" s="56"/>
      <c r="D12" s="57" t="n">
        <f aca="false">IF(AND(Inputs!$G$18=1,C12&lt;&gt;""),C12,Inputs!$G$17)</f>
        <v>0.02252</v>
      </c>
    </row>
    <row r="13" customFormat="false" ht="15" hidden="false" customHeight="true" outlineLevel="0" collapsed="false">
      <c r="A13" s="3" t="n">
        <v>10</v>
      </c>
      <c r="B13" s="10" t="n">
        <f aca="false">Engine!C20</f>
        <v>47164</v>
      </c>
      <c r="C13" s="56"/>
      <c r="D13" s="57" t="n">
        <f aca="false">IF(AND(Inputs!$G$18=1,C13&lt;&gt;""),C13,Inputs!$G$17)</f>
        <v>0.02252</v>
      </c>
    </row>
    <row r="14" customFormat="false" ht="15" hidden="false" customHeight="true" outlineLevel="0" collapsed="false">
      <c r="A14" s="3" t="n">
        <v>11</v>
      </c>
      <c r="B14" s="10" t="n">
        <f aca="false">Engine!C21</f>
        <v>47253</v>
      </c>
      <c r="C14" s="56"/>
      <c r="D14" s="57" t="n">
        <f aca="false">IF(AND(Inputs!$G$18=1,C14&lt;&gt;""),C14,Inputs!$G$17)</f>
        <v>0.02252</v>
      </c>
    </row>
    <row r="15" customFormat="false" ht="15" hidden="false" customHeight="true" outlineLevel="0" collapsed="false">
      <c r="A15" s="3" t="n">
        <v>12</v>
      </c>
      <c r="B15" s="10" t="n">
        <f aca="false">Engine!C22</f>
        <v>47345</v>
      </c>
      <c r="C15" s="56"/>
      <c r="D15" s="57" t="n">
        <f aca="false">IF(AND(Inputs!$G$18=1,C15&lt;&gt;""),C15,Inputs!$G$17)</f>
        <v>0.02252</v>
      </c>
    </row>
    <row r="16" customFormat="false" ht="15" hidden="false" customHeight="true" outlineLevel="0" collapsed="false">
      <c r="A16" s="3" t="n">
        <v>13</v>
      </c>
      <c r="B16" s="10" t="n">
        <f aca="false">Engine!C23</f>
        <v>47437</v>
      </c>
      <c r="C16" s="56"/>
      <c r="D16" s="57" t="n">
        <f aca="false">IF(AND(Inputs!$G$18=1,C16&lt;&gt;""),C16,Inputs!$G$17)</f>
        <v>0.02252</v>
      </c>
    </row>
    <row r="17" customFormat="false" ht="15" hidden="false" customHeight="true" outlineLevel="0" collapsed="false">
      <c r="A17" s="3" t="n">
        <v>14</v>
      </c>
      <c r="B17" s="10" t="n">
        <f aca="false">Engine!C24</f>
        <v>47529</v>
      </c>
      <c r="C17" s="56"/>
      <c r="D17" s="57" t="n">
        <f aca="false">IF(AND(Inputs!$G$18=1,C17&lt;&gt;""),C17,Inputs!$G$17)</f>
        <v>0.02252</v>
      </c>
    </row>
    <row r="18" customFormat="false" ht="15" hidden="false" customHeight="true" outlineLevel="0" collapsed="false">
      <c r="A18" s="3" t="n">
        <v>15</v>
      </c>
      <c r="B18" s="10" t="n">
        <f aca="false">Engine!C25</f>
        <v>47618</v>
      </c>
      <c r="C18" s="56"/>
      <c r="D18" s="57" t="n">
        <f aca="false">IF(AND(Inputs!$G$18=1,C18&lt;&gt;""),C18,Inputs!$G$17)</f>
        <v>0.02252</v>
      </c>
    </row>
    <row r="19" customFormat="false" ht="15" hidden="false" customHeight="true" outlineLevel="0" collapsed="false">
      <c r="A19" s="3" t="n">
        <v>16</v>
      </c>
      <c r="B19" s="10" t="n">
        <f aca="false">Engine!C26</f>
        <v>47710</v>
      </c>
      <c r="C19" s="56"/>
      <c r="D19" s="57" t="n">
        <f aca="false">IF(AND(Inputs!$G$18=1,C19&lt;&gt;""),C19,Inputs!$G$17)</f>
        <v>0.02252</v>
      </c>
    </row>
    <row r="20" customFormat="false" ht="15" hidden="false" customHeight="true" outlineLevel="0" collapsed="false">
      <c r="A20" s="3" t="n">
        <v>17</v>
      </c>
      <c r="B20" s="10" t="n">
        <f aca="false">Engine!C27</f>
        <v>47802</v>
      </c>
      <c r="C20" s="56"/>
      <c r="D20" s="57" t="n">
        <f aca="false">IF(AND(Inputs!$G$18=1,C20&lt;&gt;""),C20,Inputs!$G$17)</f>
        <v>0.02252</v>
      </c>
    </row>
    <row r="21" customFormat="false" ht="15" hidden="false" customHeight="true" outlineLevel="0" collapsed="false">
      <c r="A21" s="3" t="n">
        <v>18</v>
      </c>
      <c r="B21" s="10" t="n">
        <f aca="false">Engine!C28</f>
        <v>47896</v>
      </c>
      <c r="C21" s="56"/>
      <c r="D21" s="57" t="n">
        <f aca="false">IF(AND(Inputs!$G$18=1,C21&lt;&gt;""),C21,Inputs!$G$17)</f>
        <v>0.02252</v>
      </c>
    </row>
    <row r="22" customFormat="false" ht="15" hidden="false" customHeight="true" outlineLevel="0" collapsed="false">
      <c r="A22" s="3" t="n">
        <v>19</v>
      </c>
      <c r="B22" s="10" t="n">
        <f aca="false">Engine!C29</f>
        <v>47983</v>
      </c>
      <c r="C22" s="56"/>
      <c r="D22" s="57" t="n">
        <f aca="false">IF(AND(Inputs!$G$18=1,C22&lt;&gt;""),C22,Inputs!$G$17)</f>
        <v>0.02252</v>
      </c>
    </row>
    <row r="23" customFormat="false" ht="15" hidden="false" customHeight="true" outlineLevel="0" collapsed="false">
      <c r="A23" s="3" t="n">
        <v>20</v>
      </c>
      <c r="B23" s="10" t="n">
        <f aca="false">Engine!C30</f>
        <v>48075</v>
      </c>
      <c r="C23" s="56"/>
      <c r="D23" s="57" t="n">
        <f aca="false">IF(AND(Inputs!$G$18=1,C23&lt;&gt;""),C23,Inputs!$G$17)</f>
        <v>0.02252</v>
      </c>
    </row>
    <row r="24" customFormat="false" ht="15" hidden="false" customHeight="true" outlineLevel="0" collapsed="false">
      <c r="A24" s="3" t="n">
        <v>21</v>
      </c>
      <c r="B24" s="10" t="n">
        <f aca="false">Engine!C31</f>
        <v>48169</v>
      </c>
      <c r="C24" s="56"/>
      <c r="D24" s="57" t="n">
        <f aca="false">IF(AND(Inputs!$G$18=1,C24&lt;&gt;""),C24,Inputs!$G$17)</f>
        <v>0.02252</v>
      </c>
    </row>
    <row r="25" customFormat="false" ht="15" hidden="false" customHeight="true" outlineLevel="0" collapsed="false">
      <c r="A25" s="3" t="n">
        <v>22</v>
      </c>
      <c r="B25" s="10" t="n">
        <f aca="false">Engine!C32</f>
        <v>48260</v>
      </c>
      <c r="C25" s="56"/>
      <c r="D25" s="57" t="n">
        <f aca="false">IF(AND(Inputs!$G$18=1,C25&lt;&gt;""),C25,Inputs!$G$17)</f>
        <v>0.02252</v>
      </c>
    </row>
    <row r="26" customFormat="false" ht="15" hidden="false" customHeight="true" outlineLevel="0" collapsed="false">
      <c r="A26" s="3" t="n">
        <v>23</v>
      </c>
      <c r="B26" s="10" t="n">
        <f aca="false">Engine!C33</f>
        <v>48351</v>
      </c>
      <c r="C26" s="56"/>
      <c r="D26" s="57" t="n">
        <f aca="false">IF(AND(Inputs!$G$18=1,C26&lt;&gt;""),C26,Inputs!$G$17)</f>
        <v>0.02252</v>
      </c>
    </row>
    <row r="27" customFormat="false" ht="15" hidden="false" customHeight="true" outlineLevel="0" collapsed="false">
      <c r="A27" s="3" t="n">
        <v>24</v>
      </c>
      <c r="B27" s="10" t="n">
        <f aca="false">Engine!C34</f>
        <v>48442</v>
      </c>
      <c r="C27" s="56"/>
      <c r="D27" s="57" t="n">
        <f aca="false">IF(AND(Inputs!$G$18=1,C27&lt;&gt;""),C27,Inputs!$G$17)</f>
        <v>0.02252</v>
      </c>
    </row>
    <row r="28" customFormat="false" ht="15" hidden="false" customHeight="true" outlineLevel="0" collapsed="false">
      <c r="A28" s="3" t="n">
        <v>25</v>
      </c>
      <c r="B28" s="10" t="n">
        <f aca="false">Engine!C35</f>
        <v>48533</v>
      </c>
      <c r="C28" s="56"/>
      <c r="D28" s="57" t="n">
        <f aca="false">IF(AND(Inputs!$G$18=1,C28&lt;&gt;""),C28,Inputs!$G$17)</f>
        <v>0.02252</v>
      </c>
    </row>
    <row r="29" customFormat="false" ht="15" hidden="false" customHeight="true" outlineLevel="0" collapsed="false">
      <c r="A29" s="3" t="n">
        <v>26</v>
      </c>
      <c r="B29" s="10" t="n">
        <f aca="false">Engine!C36</f>
        <v>48625</v>
      </c>
      <c r="C29" s="56"/>
      <c r="D29" s="57" t="n">
        <f aca="false">IF(AND(Inputs!$G$18=1,C29&lt;&gt;""),C29,Inputs!$G$17)</f>
        <v>0.02252</v>
      </c>
    </row>
    <row r="30" customFormat="false" ht="15" hidden="false" customHeight="true" outlineLevel="0" collapsed="false">
      <c r="A30" s="3" t="n">
        <v>27</v>
      </c>
      <c r="B30" s="10" t="n">
        <f aca="false">Engine!C37</f>
        <v>48715</v>
      </c>
      <c r="C30" s="56"/>
      <c r="D30" s="57" t="n">
        <f aca="false">IF(AND(Inputs!$G$18=1,C30&lt;&gt;""),C30,Inputs!$G$17)</f>
        <v>0.02252</v>
      </c>
    </row>
    <row r="31" customFormat="false" ht="15" hidden="false" customHeight="true" outlineLevel="0" collapsed="false">
      <c r="A31" s="3" t="n">
        <v>28</v>
      </c>
      <c r="B31" s="10" t="n">
        <f aca="false">Engine!C38</f>
        <v>48806</v>
      </c>
      <c r="C31" s="56"/>
      <c r="D31" s="57" t="n">
        <f aca="false">IF(AND(Inputs!$G$18=1,C31&lt;&gt;""),C31,Inputs!$G$17)</f>
        <v>0.02252</v>
      </c>
    </row>
    <row r="32" customFormat="false" ht="15" hidden="false" customHeight="true" outlineLevel="0" collapsed="false">
      <c r="A32" s="3" t="n">
        <v>29</v>
      </c>
      <c r="B32" s="10" t="n">
        <f aca="false">Engine!C39</f>
        <v>48898</v>
      </c>
      <c r="C32" s="56"/>
      <c r="D32" s="57" t="n">
        <f aca="false">IF(AND(Inputs!$G$18=1,C32&lt;&gt;""),C32,Inputs!$G$17)</f>
        <v>0.02252</v>
      </c>
    </row>
    <row r="33" customFormat="false" ht="15" hidden="false" customHeight="true" outlineLevel="0" collapsed="false">
      <c r="A33" s="3" t="n">
        <v>30</v>
      </c>
      <c r="B33" s="10" t="n">
        <f aca="false">Engine!C40</f>
        <v>48990</v>
      </c>
      <c r="C33" s="56"/>
      <c r="D33" s="57" t="n">
        <f aca="false">IF(AND(Inputs!$G$18=1,C33&lt;&gt;""),C33,Inputs!$G$17)</f>
        <v>0.02252</v>
      </c>
    </row>
    <row r="34" customFormat="false" ht="15" hidden="false" customHeight="true" outlineLevel="0" collapsed="false">
      <c r="A34" s="3" t="n">
        <v>31</v>
      </c>
      <c r="B34" s="10" t="n">
        <f aca="false">Engine!C41</f>
        <v>49079</v>
      </c>
      <c r="C34" s="56"/>
      <c r="D34" s="57" t="n">
        <f aca="false">IF(AND(Inputs!$G$18=1,C34&lt;&gt;""),C34,Inputs!$G$17)</f>
        <v>0.02252</v>
      </c>
    </row>
    <row r="35" customFormat="false" ht="15" hidden="false" customHeight="true" outlineLevel="0" collapsed="false">
      <c r="A35" s="3" t="n">
        <v>32</v>
      </c>
      <c r="B35" s="10" t="n">
        <f aca="false">Engine!C42</f>
        <v>49171</v>
      </c>
      <c r="C35" s="56"/>
      <c r="D35" s="57" t="n">
        <f aca="false">IF(AND(Inputs!$G$18=1,C35&lt;&gt;""),C35,Inputs!$G$17)</f>
        <v>0.02252</v>
      </c>
    </row>
    <row r="36" customFormat="false" ht="15" hidden="false" customHeight="true" outlineLevel="0" collapsed="false">
      <c r="A36" s="3" t="n">
        <v>33</v>
      </c>
      <c r="B36" s="10" t="n">
        <f aca="false">Engine!C43</f>
        <v>49263</v>
      </c>
      <c r="C36" s="56"/>
      <c r="D36" s="57" t="n">
        <f aca="false">IF(AND(Inputs!$G$18=1,C36&lt;&gt;""),C36,Inputs!$G$17)</f>
        <v>0.02252</v>
      </c>
    </row>
    <row r="37" customFormat="false" ht="15" hidden="false" customHeight="true" outlineLevel="0" collapsed="false">
      <c r="A37" s="3" t="n">
        <v>34</v>
      </c>
      <c r="B37" s="10" t="n">
        <f aca="false">Engine!C44</f>
        <v>49355</v>
      </c>
      <c r="C37" s="56"/>
      <c r="D37" s="57" t="n">
        <f aca="false">IF(AND(Inputs!$G$18=1,C37&lt;&gt;""),C37,Inputs!$G$17)</f>
        <v>0.02252</v>
      </c>
    </row>
    <row r="38" customFormat="false" ht="15" hidden="false" customHeight="true" outlineLevel="0" collapsed="false">
      <c r="A38" s="3" t="n">
        <v>35</v>
      </c>
      <c r="B38" s="10" t="n">
        <f aca="false">Engine!C45</f>
        <v>49444</v>
      </c>
      <c r="C38" s="56"/>
      <c r="D38" s="57" t="n">
        <f aca="false">IF(AND(Inputs!$G$18=1,C38&lt;&gt;""),C38,Inputs!$G$17)</f>
        <v>0.02252</v>
      </c>
    </row>
    <row r="39" customFormat="false" ht="15" hidden="false" customHeight="true" outlineLevel="0" collapsed="false">
      <c r="A39" s="3" t="n">
        <v>36</v>
      </c>
      <c r="B39" s="10" t="n">
        <f aca="false">Engine!C46</f>
        <v>49536</v>
      </c>
      <c r="C39" s="56"/>
      <c r="D39" s="57" t="n">
        <f aca="false">IF(AND(Inputs!$G$18=1,C39&lt;&gt;""),C39,Inputs!$G$17)</f>
        <v>0.02252</v>
      </c>
    </row>
    <row r="40" customFormat="false" ht="15" hidden="false" customHeight="true" outlineLevel="0" collapsed="false">
      <c r="A40" s="3" t="n">
        <v>37</v>
      </c>
      <c r="B40" s="10" t="n">
        <f aca="false">Engine!C47</f>
        <v>49628</v>
      </c>
      <c r="C40" s="56"/>
      <c r="D40" s="57" t="n">
        <f aca="false">IF(AND(Inputs!$G$18=1,C40&lt;&gt;""),C40,Inputs!$G$17)</f>
        <v>0.02252</v>
      </c>
    </row>
    <row r="41" customFormat="false" ht="15" hidden="false" customHeight="true" outlineLevel="0" collapsed="false">
      <c r="A41" s="3" t="n">
        <v>38</v>
      </c>
      <c r="B41" s="10" t="n">
        <f aca="false">Engine!C48</f>
        <v>49720</v>
      </c>
      <c r="C41" s="56"/>
      <c r="D41" s="57" t="n">
        <f aca="false">IF(AND(Inputs!$G$18=1,C41&lt;&gt;""),C41,Inputs!$G$17)</f>
        <v>0.02252</v>
      </c>
    </row>
    <row r="42" customFormat="false" ht="15" hidden="false" customHeight="true" outlineLevel="0" collapsed="false">
      <c r="A42" s="3" t="n">
        <v>39</v>
      </c>
      <c r="B42" s="10" t="n">
        <f aca="false">Engine!C49</f>
        <v>49810</v>
      </c>
      <c r="C42" s="56"/>
      <c r="D42" s="57" t="n">
        <f aca="false">IF(AND(Inputs!$G$18=1,C42&lt;&gt;""),C42,Inputs!$G$17)</f>
        <v>0.02252</v>
      </c>
    </row>
    <row r="43" customFormat="false" ht="15" hidden="false" customHeight="true" outlineLevel="0" collapsed="false">
      <c r="A43" s="3" t="n">
        <v>40</v>
      </c>
      <c r="B43" s="10" t="n">
        <f aca="false">Engine!C50</f>
        <v>49902</v>
      </c>
      <c r="C43" s="56"/>
      <c r="D43" s="57" t="n">
        <f aca="false">IF(AND(Inputs!$G$18=1,C43&lt;&gt;""),C43,Inputs!$G$17)</f>
        <v>0.02252</v>
      </c>
    </row>
    <row r="44" customFormat="false" ht="15" hidden="false" customHeight="true" outlineLevel="0" collapsed="false">
      <c r="A44" s="3" t="n">
        <v>41</v>
      </c>
      <c r="B44" s="10" t="n">
        <f aca="false">Engine!C51</f>
        <v>49996</v>
      </c>
      <c r="C44" s="56"/>
      <c r="D44" s="57" t="n">
        <f aca="false">IF(AND(Inputs!$G$18=1,C44&lt;&gt;""),C44,Inputs!$G$17)</f>
        <v>0.02252</v>
      </c>
    </row>
    <row r="45" customFormat="false" ht="15" hidden="false" customHeight="true" outlineLevel="0" collapsed="false">
      <c r="A45" s="3" t="n">
        <v>42</v>
      </c>
      <c r="B45" s="10" t="n">
        <f aca="false">Engine!C52</f>
        <v>50087</v>
      </c>
      <c r="C45" s="56"/>
      <c r="D45" s="57" t="n">
        <f aca="false">IF(AND(Inputs!$G$18=1,C45&lt;&gt;""),C45,Inputs!$G$17)</f>
        <v>0.02252</v>
      </c>
    </row>
    <row r="46" customFormat="false" ht="15" hidden="false" customHeight="true" outlineLevel="0" collapsed="false">
      <c r="A46" s="3" t="n">
        <v>43</v>
      </c>
      <c r="B46" s="10" t="n">
        <f aca="false">Engine!C53</f>
        <v>50175</v>
      </c>
      <c r="C46" s="56"/>
      <c r="D46" s="57" t="n">
        <f aca="false">IF(AND(Inputs!$G$18=1,C46&lt;&gt;""),C46,Inputs!$G$17)</f>
        <v>0.02252</v>
      </c>
    </row>
    <row r="47" customFormat="false" ht="15" hidden="false" customHeight="true" outlineLevel="0" collapsed="false">
      <c r="A47" s="3" t="n">
        <v>44</v>
      </c>
      <c r="B47" s="10" t="n">
        <f aca="false">Engine!C54</f>
        <v>50269</v>
      </c>
      <c r="C47" s="56"/>
      <c r="D47" s="57" t="n">
        <f aca="false">IF(AND(Inputs!$G$18=1,C47&lt;&gt;""),C47,Inputs!$G$17)</f>
        <v>0.02252</v>
      </c>
    </row>
    <row r="48" customFormat="false" ht="15" hidden="false" customHeight="true" outlineLevel="0" collapsed="false">
      <c r="A48" s="3" t="n">
        <v>45</v>
      </c>
      <c r="B48" s="10" t="n">
        <f aca="false">Engine!C55</f>
        <v>50360</v>
      </c>
      <c r="C48" s="56"/>
      <c r="D48" s="57" t="n">
        <f aca="false">IF(AND(Inputs!$G$18=1,C48&lt;&gt;""),C48,Inputs!$G$17)</f>
        <v>0.02252</v>
      </c>
    </row>
    <row r="49" customFormat="false" ht="15" hidden="false" customHeight="true" outlineLevel="0" collapsed="false">
      <c r="A49" s="3" t="n">
        <v>46</v>
      </c>
      <c r="B49" s="10" t="n">
        <f aca="false">Engine!C56</f>
        <v>50451</v>
      </c>
      <c r="C49" s="56"/>
      <c r="D49" s="57" t="n">
        <f aca="false">IF(AND(Inputs!$G$18=1,C49&lt;&gt;""),C49,Inputs!$G$17)</f>
        <v>0.02252</v>
      </c>
    </row>
    <row r="50" customFormat="false" ht="15" hidden="false" customHeight="true" outlineLevel="0" collapsed="false">
      <c r="A50" s="3" t="n">
        <v>47</v>
      </c>
      <c r="B50" s="10" t="n">
        <f aca="false">Engine!C57</f>
        <v>50542</v>
      </c>
      <c r="C50" s="56"/>
      <c r="D50" s="57" t="n">
        <f aca="false">IF(AND(Inputs!$G$18=1,C50&lt;&gt;""),C50,Inputs!$G$17)</f>
        <v>0.02252</v>
      </c>
    </row>
    <row r="51" customFormat="false" ht="15" hidden="false" customHeight="true" outlineLevel="0" collapsed="false">
      <c r="A51" s="3" t="n">
        <v>48</v>
      </c>
      <c r="B51" s="10" t="n">
        <f aca="false">Engine!C58</f>
        <v>50633</v>
      </c>
      <c r="C51" s="56"/>
      <c r="D51" s="57" t="n">
        <f aca="false">IF(AND(Inputs!$G$18=1,C51&lt;&gt;""),C51,Inputs!$G$17)</f>
        <v>0.02252</v>
      </c>
    </row>
    <row r="52" customFormat="false" ht="15" hidden="false" customHeight="true" outlineLevel="0" collapsed="false">
      <c r="A52" s="3" t="n">
        <v>49</v>
      </c>
      <c r="B52" s="10" t="n">
        <f aca="false">Engine!C59</f>
        <v>50724</v>
      </c>
      <c r="C52" s="56"/>
      <c r="D52" s="57" t="n">
        <f aca="false">IF(AND(Inputs!$G$18=1,C52&lt;&gt;""),C52,Inputs!$G$17)</f>
        <v>0.02252</v>
      </c>
    </row>
    <row r="53" customFormat="false" ht="15" hidden="false" customHeight="true" outlineLevel="0" collapsed="false">
      <c r="A53" s="3" t="n">
        <v>50</v>
      </c>
      <c r="B53" s="10" t="n">
        <f aca="false">Engine!C60</f>
        <v>50816</v>
      </c>
      <c r="C53" s="56"/>
      <c r="D53" s="57" t="n">
        <f aca="false">IF(AND(Inputs!$G$18=1,C53&lt;&gt;""),C53,Inputs!$G$17)</f>
        <v>0.02252</v>
      </c>
    </row>
    <row r="54" customFormat="false" ht="15" hidden="false" customHeight="true" outlineLevel="0" collapsed="false">
      <c r="A54" s="3" t="n">
        <v>51</v>
      </c>
      <c r="B54" s="10" t="n">
        <f aca="false">Engine!C61</f>
        <v>50906</v>
      </c>
      <c r="C54" s="56"/>
      <c r="D54" s="57" t="n">
        <f aca="false">IF(AND(Inputs!$G$18=1,C54&lt;&gt;""),C54,Inputs!$G$17)</f>
        <v>0.02252</v>
      </c>
    </row>
    <row r="55" customFormat="false" ht="15" hidden="false" customHeight="true" outlineLevel="0" collapsed="false">
      <c r="A55" s="3" t="n">
        <v>52</v>
      </c>
      <c r="B55" s="10" t="n">
        <f aca="false">Engine!C62</f>
        <v>50997</v>
      </c>
      <c r="C55" s="56"/>
      <c r="D55" s="57" t="n">
        <f aca="false">IF(AND(Inputs!$G$18=1,C55&lt;&gt;""),C55,Inputs!$G$17)</f>
        <v>0.02252</v>
      </c>
    </row>
    <row r="56" customFormat="false" ht="15" hidden="false" customHeight="true" outlineLevel="0" collapsed="false">
      <c r="A56" s="3" t="n">
        <v>53</v>
      </c>
      <c r="B56" s="10" t="n">
        <f aca="false">Engine!C63</f>
        <v>51089</v>
      </c>
      <c r="C56" s="56"/>
      <c r="D56" s="57" t="n">
        <f aca="false">IF(AND(Inputs!$G$18=1,C56&lt;&gt;""),C56,Inputs!$G$17)</f>
        <v>0.02252</v>
      </c>
    </row>
    <row r="57" customFormat="false" ht="15" hidden="false" customHeight="true" outlineLevel="0" collapsed="false">
      <c r="A57" s="3" t="n">
        <v>54</v>
      </c>
      <c r="B57" s="10" t="n">
        <f aca="false">Engine!C64</f>
        <v>51181</v>
      </c>
      <c r="C57" s="56"/>
      <c r="D57" s="57" t="n">
        <f aca="false">IF(AND(Inputs!$G$18=1,C57&lt;&gt;""),C57,Inputs!$G$17)</f>
        <v>0.02252</v>
      </c>
    </row>
    <row r="58" customFormat="false" ht="15" hidden="false" customHeight="true" outlineLevel="0" collapsed="false">
      <c r="A58" s="3" t="n">
        <v>55</v>
      </c>
      <c r="B58" s="10" t="n">
        <f aca="false">Engine!C65</f>
        <v>51271</v>
      </c>
      <c r="C58" s="56"/>
      <c r="D58" s="57" t="n">
        <f aca="false">IF(AND(Inputs!$G$18=1,C58&lt;&gt;""),C58,Inputs!$G$17)</f>
        <v>0.02252</v>
      </c>
    </row>
    <row r="59" customFormat="false" ht="15" hidden="false" customHeight="true" outlineLevel="0" collapsed="false">
      <c r="A59" s="3" t="n">
        <v>56</v>
      </c>
      <c r="B59" s="10" t="n">
        <f aca="false">Engine!C66</f>
        <v>51363</v>
      </c>
      <c r="C59" s="56"/>
      <c r="D59" s="57" t="n">
        <f aca="false">IF(AND(Inputs!$G$18=1,C59&lt;&gt;""),C59,Inputs!$G$17)</f>
        <v>0.02252</v>
      </c>
    </row>
    <row r="60" customFormat="false" ht="15" hidden="false" customHeight="true" outlineLevel="0" collapsed="false">
      <c r="A60" s="3" t="n">
        <v>57</v>
      </c>
      <c r="B60" s="10" t="n">
        <f aca="false">Engine!C67</f>
        <v>51455</v>
      </c>
      <c r="C60" s="56"/>
      <c r="D60" s="57" t="n">
        <f aca="false">IF(AND(Inputs!$G$18=1,C60&lt;&gt;""),C60,Inputs!$G$17)</f>
        <v>0.02252</v>
      </c>
    </row>
    <row r="61" customFormat="false" ht="15" hidden="false" customHeight="true" outlineLevel="0" collapsed="false">
      <c r="A61" s="3" t="n">
        <v>58</v>
      </c>
      <c r="B61" s="10" t="n">
        <f aca="false">Engine!C68</f>
        <v>51547</v>
      </c>
      <c r="C61" s="56"/>
      <c r="D61" s="57" t="n">
        <f aca="false">IF(AND(Inputs!$G$18=1,C61&lt;&gt;""),C61,Inputs!$G$17)</f>
        <v>0.02252</v>
      </c>
    </row>
    <row r="62" customFormat="false" ht="15" hidden="false" customHeight="true" outlineLevel="0" collapsed="false">
      <c r="A62" s="3" t="n">
        <v>59</v>
      </c>
      <c r="B62" s="10" t="n">
        <f aca="false">Engine!C69</f>
        <v>51636</v>
      </c>
      <c r="C62" s="56"/>
      <c r="D62" s="57" t="n">
        <f aca="false">IF(AND(Inputs!$G$18=1,C62&lt;&gt;""),C62,Inputs!$G$17)</f>
        <v>0.02252</v>
      </c>
    </row>
    <row r="63" customFormat="false" ht="15" hidden="false" customHeight="true" outlineLevel="0" collapsed="false">
      <c r="A63" s="3" t="n">
        <v>60</v>
      </c>
      <c r="B63" s="10" t="n">
        <f aca="false">Engine!C70</f>
        <v>51728</v>
      </c>
      <c r="C63" s="56"/>
      <c r="D63" s="57" t="n">
        <f aca="false">IF(AND(Inputs!$G$18=1,C63&lt;&gt;""),C63,Inputs!$G$17)</f>
        <v>0.02252</v>
      </c>
    </row>
    <row r="64" customFormat="false" ht="15" hidden="false" customHeight="true" outlineLevel="0" collapsed="false">
      <c r="A64" s="3" t="n">
        <v>61</v>
      </c>
      <c r="B64" s="10" t="n">
        <f aca="false">Engine!C71</f>
        <v>51820</v>
      </c>
      <c r="C64" s="56"/>
      <c r="D64" s="57" t="n">
        <f aca="false">IF(AND(Inputs!$G$18=1,C64&lt;&gt;""),C64,Inputs!$G$17)</f>
        <v>0.02252</v>
      </c>
    </row>
    <row r="65" customFormat="false" ht="15" hidden="false" customHeight="true" outlineLevel="0" collapsed="false">
      <c r="A65" s="3" t="n">
        <v>62</v>
      </c>
      <c r="B65" s="10" t="n">
        <f aca="false">Engine!C72</f>
        <v>51914</v>
      </c>
      <c r="C65" s="56"/>
      <c r="D65" s="57" t="n">
        <f aca="false">IF(AND(Inputs!$G$18=1,C65&lt;&gt;""),C65,Inputs!$G$17)</f>
        <v>0.02252</v>
      </c>
    </row>
    <row r="66" customFormat="false" ht="15" hidden="false" customHeight="true" outlineLevel="0" collapsed="false">
      <c r="A66" s="3" t="n">
        <v>63</v>
      </c>
      <c r="B66" s="10" t="n">
        <f aca="false">Engine!C73</f>
        <v>52001</v>
      </c>
      <c r="C66" s="56"/>
      <c r="D66" s="57" t="n">
        <f aca="false">IF(AND(Inputs!$G$18=1,C66&lt;&gt;""),C66,Inputs!$G$17)</f>
        <v>0.02252</v>
      </c>
    </row>
    <row r="67" customFormat="false" ht="15" hidden="false" customHeight="true" outlineLevel="0" collapsed="false">
      <c r="A67" s="3" t="n">
        <v>64</v>
      </c>
      <c r="B67" s="10" t="n">
        <f aca="false">Engine!C74</f>
        <v>52093</v>
      </c>
      <c r="C67" s="56"/>
      <c r="D67" s="57" t="n">
        <f aca="false">IF(AND(Inputs!$G$18=1,C67&lt;&gt;""),C67,Inputs!$G$17)</f>
        <v>0.02252</v>
      </c>
    </row>
    <row r="68" customFormat="false" ht="15" hidden="false" customHeight="true" outlineLevel="0" collapsed="false">
      <c r="A68" s="3" t="n">
        <v>65</v>
      </c>
      <c r="B68" s="10" t="n">
        <f aca="false">Engine!C75</f>
        <v>52187</v>
      </c>
      <c r="C68" s="56"/>
      <c r="D68" s="57" t="n">
        <f aca="false">IF(AND(Inputs!$G$18=1,C68&lt;&gt;""),C68,Inputs!$G$17)</f>
        <v>0.02252</v>
      </c>
    </row>
    <row r="69" customFormat="false" ht="15" hidden="false" customHeight="true" outlineLevel="0" collapsed="false">
      <c r="A69" s="3" t="n">
        <v>66</v>
      </c>
      <c r="B69" s="10" t="n">
        <f aca="false">Engine!C76</f>
        <v>52278</v>
      </c>
      <c r="C69" s="56"/>
      <c r="D69" s="57" t="n">
        <f aca="false">IF(AND(Inputs!$G$18=1,C69&lt;&gt;""),C69,Inputs!$G$17)</f>
        <v>0.02252</v>
      </c>
    </row>
    <row r="70" customFormat="false" ht="15" hidden="false" customHeight="true" outlineLevel="0" collapsed="false">
      <c r="A70" s="3" t="n">
        <v>67</v>
      </c>
      <c r="B70" s="10" t="n">
        <f aca="false">Engine!C77</f>
        <v>52366</v>
      </c>
      <c r="C70" s="56"/>
      <c r="D70" s="57" t="n">
        <f aca="false">IF(AND(Inputs!$G$18=1,C70&lt;&gt;""),C70,Inputs!$G$17)</f>
        <v>0.02252</v>
      </c>
    </row>
    <row r="71" customFormat="false" ht="15" hidden="false" customHeight="true" outlineLevel="0" collapsed="false">
      <c r="A71" s="3" t="n">
        <v>68</v>
      </c>
      <c r="B71" s="10" t="n">
        <f aca="false">Engine!C78</f>
        <v>52460</v>
      </c>
      <c r="C71" s="56"/>
      <c r="D71" s="57" t="n">
        <f aca="false">IF(AND(Inputs!$G$18=1,C71&lt;&gt;""),C71,Inputs!$G$17)</f>
        <v>0.02252</v>
      </c>
    </row>
    <row r="72" customFormat="false" ht="15" hidden="false" customHeight="true" outlineLevel="0" collapsed="false">
      <c r="A72" s="3" t="n">
        <v>69</v>
      </c>
      <c r="B72" s="10" t="n">
        <f aca="false">Engine!C79</f>
        <v>52551</v>
      </c>
      <c r="C72" s="56"/>
      <c r="D72" s="57" t="n">
        <f aca="false">IF(AND(Inputs!$G$18=1,C72&lt;&gt;""),C72,Inputs!$G$17)</f>
        <v>0.02252</v>
      </c>
    </row>
    <row r="73" customFormat="false" ht="15" hidden="false" customHeight="true" outlineLevel="0" collapsed="false">
      <c r="A73" s="3" t="n">
        <v>70</v>
      </c>
      <c r="B73" s="10" t="n">
        <f aca="false">Engine!C80</f>
        <v>52642</v>
      </c>
      <c r="C73" s="56"/>
      <c r="D73" s="57" t="n">
        <f aca="false">IF(AND(Inputs!$G$18=1,C73&lt;&gt;""),C73,Inputs!$G$17)</f>
        <v>0.02252</v>
      </c>
    </row>
    <row r="74" customFormat="false" ht="15" hidden="false" customHeight="true" outlineLevel="0" collapsed="false">
      <c r="A74" s="3" t="n">
        <v>71</v>
      </c>
      <c r="B74" s="10" t="n">
        <f aca="false">Engine!C81</f>
        <v>52733</v>
      </c>
      <c r="C74" s="56"/>
      <c r="D74" s="57" t="n">
        <f aca="false">IF(AND(Inputs!$G$18=1,C74&lt;&gt;""),C74,Inputs!$G$17)</f>
        <v>0.02252</v>
      </c>
    </row>
    <row r="75" customFormat="false" ht="15" hidden="false" customHeight="true" outlineLevel="0" collapsed="false">
      <c r="A75" s="3" t="n">
        <v>72</v>
      </c>
      <c r="B75" s="10" t="n">
        <f aca="false">Engine!C82</f>
        <v>52824</v>
      </c>
      <c r="C75" s="56"/>
      <c r="D75" s="57" t="n">
        <f aca="false">IF(AND(Inputs!$G$18=1,C75&lt;&gt;""),C75,Inputs!$G$17)</f>
        <v>0.02252</v>
      </c>
    </row>
    <row r="76" customFormat="false" ht="15" hidden="false" customHeight="true" outlineLevel="0" collapsed="false">
      <c r="A76" s="3" t="n">
        <v>73</v>
      </c>
      <c r="B76" s="10" t="n">
        <f aca="false">Engine!C83</f>
        <v>52916</v>
      </c>
      <c r="C76" s="56"/>
      <c r="D76" s="57" t="n">
        <f aca="false">IF(AND(Inputs!$G$18=1,C76&lt;&gt;""),C76,Inputs!$G$17)</f>
        <v>0.02252</v>
      </c>
    </row>
    <row r="77" customFormat="false" ht="15" hidden="false" customHeight="true" outlineLevel="0" collapsed="false">
      <c r="A77" s="3" t="n">
        <v>74</v>
      </c>
      <c r="B77" s="10" t="n">
        <f aca="false">Engine!C84</f>
        <v>53008</v>
      </c>
      <c r="C77" s="56"/>
      <c r="D77" s="57" t="n">
        <f aca="false">IF(AND(Inputs!$G$18=1,C77&lt;&gt;""),C77,Inputs!$G$17)</f>
        <v>0.02252</v>
      </c>
    </row>
    <row r="78" customFormat="false" ht="15" hidden="false" customHeight="true" outlineLevel="0" collapsed="false">
      <c r="A78" s="3" t="n">
        <v>75</v>
      </c>
      <c r="B78" s="10" t="n">
        <f aca="false">Engine!C85</f>
        <v>53097</v>
      </c>
      <c r="C78" s="56"/>
      <c r="D78" s="57" t="n">
        <f aca="false">IF(AND(Inputs!$G$18=1,C78&lt;&gt;""),C78,Inputs!$G$17)</f>
        <v>0.02252</v>
      </c>
    </row>
    <row r="79" customFormat="false" ht="15" hidden="false" customHeight="true" outlineLevel="0" collapsed="false">
      <c r="A79" s="3" t="n">
        <v>76</v>
      </c>
      <c r="B79" s="10" t="n">
        <f aca="false">Engine!C86</f>
        <v>53189</v>
      </c>
      <c r="C79" s="56"/>
      <c r="D79" s="57" t="n">
        <f aca="false">IF(AND(Inputs!$G$18=1,C79&lt;&gt;""),C79,Inputs!$G$17)</f>
        <v>0.02252</v>
      </c>
    </row>
    <row r="80" customFormat="false" ht="15" hidden="false" customHeight="true" outlineLevel="0" collapsed="false">
      <c r="A80" s="3" t="n">
        <v>77</v>
      </c>
      <c r="B80" s="10" t="n">
        <f aca="false">Engine!C87</f>
        <v>53281</v>
      </c>
      <c r="C80" s="56"/>
      <c r="D80" s="57" t="n">
        <f aca="false">IF(AND(Inputs!$G$18=1,C80&lt;&gt;""),C80,Inputs!$G$17)</f>
        <v>0.02252</v>
      </c>
    </row>
    <row r="81" customFormat="false" ht="15" hidden="false" customHeight="true" outlineLevel="0" collapsed="false">
      <c r="A81" s="3" t="n">
        <v>78</v>
      </c>
      <c r="B81" s="10" t="n">
        <f aca="false">Engine!C88</f>
        <v>53373</v>
      </c>
      <c r="C81" s="56"/>
      <c r="D81" s="57" t="n">
        <f aca="false">IF(AND(Inputs!$G$18=1,C81&lt;&gt;""),C81,Inputs!$G$17)</f>
        <v>0.02252</v>
      </c>
    </row>
    <row r="82" customFormat="false" ht="15" hidden="false" customHeight="true" outlineLevel="0" collapsed="false">
      <c r="A82" s="3" t="n">
        <v>79</v>
      </c>
      <c r="B82" s="10" t="n">
        <f aca="false">Engine!C89</f>
        <v>53462</v>
      </c>
      <c r="C82" s="56"/>
      <c r="D82" s="57" t="n">
        <f aca="false">IF(AND(Inputs!$G$18=1,C82&lt;&gt;""),C82,Inputs!$G$17)</f>
        <v>0.02252</v>
      </c>
    </row>
    <row r="83" customFormat="false" ht="15" hidden="false" customHeight="true" outlineLevel="0" collapsed="false">
      <c r="A83" s="3" t="n">
        <v>80</v>
      </c>
      <c r="B83" s="10" t="n">
        <f aca="false">Engine!C90</f>
        <v>53554</v>
      </c>
      <c r="C83" s="56"/>
      <c r="D83" s="57" t="n">
        <f aca="false">IF(AND(Inputs!$G$18=1,C83&lt;&gt;""),C83,Inputs!$G$17)</f>
        <v>0.02252</v>
      </c>
    </row>
    <row r="84" customFormat="false" ht="15" hidden="false" customHeight="true" outlineLevel="0" collapsed="false">
      <c r="A84" s="3" t="n">
        <v>81</v>
      </c>
      <c r="B84" s="10" t="n">
        <f aca="false">Engine!C91</f>
        <v>53646</v>
      </c>
      <c r="C84" s="56"/>
      <c r="D84" s="57" t="n">
        <f aca="false">IF(AND(Inputs!$G$18=1,C84&lt;&gt;""),C84,Inputs!$G$17)</f>
        <v>0.02252</v>
      </c>
    </row>
    <row r="85" customFormat="false" ht="15" hidden="false" customHeight="true" outlineLevel="0" collapsed="false">
      <c r="A85" s="3" t="n">
        <v>82</v>
      </c>
      <c r="B85" s="10" t="n">
        <f aca="false">Engine!C92</f>
        <v>53738</v>
      </c>
      <c r="C85" s="56"/>
      <c r="D85" s="57" t="n">
        <f aca="false">IF(AND(Inputs!$G$18=1,C85&lt;&gt;""),C85,Inputs!$G$17)</f>
        <v>0.02252</v>
      </c>
    </row>
    <row r="86" customFormat="false" ht="15" hidden="false" customHeight="true" outlineLevel="0" collapsed="false">
      <c r="A86" s="3" t="n">
        <v>83</v>
      </c>
      <c r="B86" s="10" t="n">
        <f aca="false">Engine!C93</f>
        <v>53827</v>
      </c>
      <c r="C86" s="56"/>
      <c r="D86" s="57" t="n">
        <f aca="false">IF(AND(Inputs!$G$18=1,C86&lt;&gt;""),C86,Inputs!$G$17)</f>
        <v>0.02252</v>
      </c>
    </row>
    <row r="87" customFormat="false" ht="15" hidden="false" customHeight="true" outlineLevel="0" collapsed="false">
      <c r="A87" s="3" t="n">
        <v>84</v>
      </c>
      <c r="B87" s="10" t="n">
        <f aca="false">Engine!C94</f>
        <v>53919</v>
      </c>
      <c r="C87" s="56"/>
      <c r="D87" s="57" t="n">
        <f aca="false">IF(AND(Inputs!$G$18=1,C87&lt;&gt;""),C87,Inputs!$G$17)</f>
        <v>0.02252</v>
      </c>
    </row>
    <row r="88" customFormat="false" ht="15" hidden="false" customHeight="true" outlineLevel="0" collapsed="false">
      <c r="A88" s="3" t="n">
        <v>85</v>
      </c>
      <c r="B88" s="10" t="n">
        <f aca="false">Engine!C95</f>
        <v>54011</v>
      </c>
      <c r="C88" s="56"/>
      <c r="D88" s="57" t="n">
        <f aca="false">IF(AND(Inputs!$G$18=1,C88&lt;&gt;""),C88,Inputs!$G$17)</f>
        <v>0.02252</v>
      </c>
    </row>
    <row r="89" customFormat="false" ht="15" hidden="false" customHeight="true" outlineLevel="0" collapsed="false">
      <c r="A89" s="3" t="n">
        <v>86</v>
      </c>
      <c r="B89" s="10" t="n">
        <f aca="false">Engine!C96</f>
        <v>54105</v>
      </c>
      <c r="C89" s="56"/>
      <c r="D89" s="57" t="n">
        <f aca="false">IF(AND(Inputs!$G$18=1,C89&lt;&gt;""),C89,Inputs!$G$17)</f>
        <v>0.02252</v>
      </c>
    </row>
    <row r="90" customFormat="false" ht="15" hidden="false" customHeight="true" outlineLevel="0" collapsed="false">
      <c r="A90" s="3" t="n">
        <v>87</v>
      </c>
      <c r="B90" s="10" t="n">
        <f aca="false">Engine!C97</f>
        <v>54193</v>
      </c>
      <c r="C90" s="56"/>
      <c r="D90" s="57" t="n">
        <f aca="false">IF(AND(Inputs!$G$18=1,C90&lt;&gt;""),C90,Inputs!$G$17)</f>
        <v>0.02252</v>
      </c>
    </row>
    <row r="91" customFormat="false" ht="15" hidden="false" customHeight="true" outlineLevel="0" collapsed="false">
      <c r="A91" s="3" t="n">
        <v>88</v>
      </c>
      <c r="B91" s="10" t="n">
        <f aca="false">Engine!C98</f>
        <v>54287</v>
      </c>
      <c r="C91" s="56"/>
      <c r="D91" s="57" t="n">
        <f aca="false">IF(AND(Inputs!$G$18=1,C91&lt;&gt;""),C91,Inputs!$G$17)</f>
        <v>0.02252</v>
      </c>
    </row>
    <row r="92" customFormat="false" ht="15" hidden="false" customHeight="true" outlineLevel="0" collapsed="false">
      <c r="A92" s="3" t="n">
        <v>89</v>
      </c>
      <c r="B92" s="10" t="n">
        <f aca="false">Engine!C99</f>
        <v>54378</v>
      </c>
      <c r="C92" s="56"/>
      <c r="D92" s="57" t="n">
        <f aca="false">IF(AND(Inputs!$G$18=1,C92&lt;&gt;""),C92,Inputs!$G$17)</f>
        <v>0.02252</v>
      </c>
    </row>
    <row r="93" customFormat="false" ht="15" hidden="false" customHeight="true" outlineLevel="0" collapsed="false">
      <c r="A93" s="3" t="n">
        <v>90</v>
      </c>
      <c r="B93" s="10" t="n">
        <f aca="false">Engine!C100</f>
        <v>54469</v>
      </c>
      <c r="C93" s="56"/>
      <c r="D93" s="57" t="n">
        <f aca="false">IF(AND(Inputs!$G$18=1,C93&lt;&gt;""),C93,Inputs!$G$17)</f>
        <v>0.02252</v>
      </c>
    </row>
    <row r="94" customFormat="false" ht="15" hidden="false" customHeight="true" outlineLevel="0" collapsed="false">
      <c r="A94" s="3" t="n">
        <v>91</v>
      </c>
      <c r="B94" s="10" t="n">
        <f aca="false">Engine!C101</f>
        <v>54560</v>
      </c>
      <c r="C94" s="56"/>
      <c r="D94" s="57" t="n">
        <f aca="false">IF(AND(Inputs!$G$18=1,C94&lt;&gt;""),C94,Inputs!$G$17)</f>
        <v>0.02252</v>
      </c>
    </row>
    <row r="95" customFormat="false" ht="15" hidden="false" customHeight="true" outlineLevel="0" collapsed="false">
      <c r="A95" s="3" t="n">
        <v>92</v>
      </c>
      <c r="B95" s="10" t="n">
        <f aca="false">Engine!C102</f>
        <v>54651</v>
      </c>
      <c r="C95" s="56"/>
      <c r="D95" s="57" t="n">
        <f aca="false">IF(AND(Inputs!$G$18=1,C95&lt;&gt;""),C95,Inputs!$G$17)</f>
        <v>0.02252</v>
      </c>
    </row>
    <row r="96" customFormat="false" ht="15" hidden="false" customHeight="true" outlineLevel="0" collapsed="false">
      <c r="A96" s="3" t="n">
        <v>93</v>
      </c>
      <c r="B96" s="10" t="n">
        <f aca="false">Engine!C103</f>
        <v>54742</v>
      </c>
      <c r="C96" s="56"/>
      <c r="D96" s="57" t="n">
        <f aca="false">IF(AND(Inputs!$G$18=1,C96&lt;&gt;""),C96,Inputs!$G$17)</f>
        <v>0.02252</v>
      </c>
    </row>
    <row r="97" customFormat="false" ht="15" hidden="false" customHeight="true" outlineLevel="0" collapsed="false">
      <c r="A97" s="3" t="n">
        <v>94</v>
      </c>
      <c r="B97" s="10" t="n">
        <f aca="false">Engine!C104</f>
        <v>54834</v>
      </c>
      <c r="C97" s="56"/>
      <c r="D97" s="57" t="n">
        <f aca="false">IF(AND(Inputs!$G$18=1,C97&lt;&gt;""),C97,Inputs!$G$17)</f>
        <v>0.02252</v>
      </c>
    </row>
    <row r="98" customFormat="false" ht="15" hidden="false" customHeight="true" outlineLevel="0" collapsed="false">
      <c r="A98" s="3" t="n">
        <v>95</v>
      </c>
      <c r="B98" s="10" t="n">
        <f aca="false">Engine!C105</f>
        <v>54924</v>
      </c>
      <c r="C98" s="56"/>
      <c r="D98" s="57" t="n">
        <f aca="false">IF(AND(Inputs!$G$18=1,C98&lt;&gt;""),C98,Inputs!$G$17)</f>
        <v>0.02252</v>
      </c>
    </row>
    <row r="99" customFormat="false" ht="15" hidden="false" customHeight="true" outlineLevel="0" collapsed="false">
      <c r="A99" s="3" t="n">
        <v>96</v>
      </c>
      <c r="B99" s="10" t="n">
        <f aca="false">Engine!C106</f>
        <v>55015</v>
      </c>
      <c r="C99" s="56"/>
      <c r="D99" s="57" t="n">
        <f aca="false">IF(AND(Inputs!$G$18=1,C99&lt;&gt;""),C99,Inputs!$G$17)</f>
        <v>0.02252</v>
      </c>
    </row>
    <row r="100" customFormat="false" ht="15" hidden="false" customHeight="true" outlineLevel="0" collapsed="false">
      <c r="A100" s="3" t="n">
        <v>97</v>
      </c>
      <c r="B100" s="10" t="n">
        <f aca="false">Engine!C107</f>
        <v>55107</v>
      </c>
      <c r="C100" s="56"/>
      <c r="D100" s="57" t="n">
        <f aca="false">IF(AND(Inputs!$G$18=1,C100&lt;&gt;""),C100,Inputs!$G$17)</f>
        <v>0.02252</v>
      </c>
    </row>
    <row r="101" customFormat="false" ht="15" hidden="false" customHeight="true" outlineLevel="0" collapsed="false">
      <c r="A101" s="3" t="n">
        <v>98</v>
      </c>
      <c r="B101" s="10" t="n">
        <f aca="false">Engine!C108</f>
        <v>55199</v>
      </c>
      <c r="C101" s="56"/>
      <c r="D101" s="57" t="n">
        <f aca="false">IF(AND(Inputs!$G$18=1,C101&lt;&gt;""),C101,Inputs!$G$17)</f>
        <v>0.02252</v>
      </c>
    </row>
    <row r="102" customFormat="false" ht="15" hidden="false" customHeight="true" outlineLevel="0" collapsed="false">
      <c r="A102" s="3" t="n">
        <v>99</v>
      </c>
      <c r="B102" s="10" t="n">
        <f aca="false">Engine!C109</f>
        <v>55288</v>
      </c>
      <c r="C102" s="56"/>
      <c r="D102" s="57" t="n">
        <f aca="false">IF(AND(Inputs!$G$18=1,C102&lt;&gt;""),C102,Inputs!$G$17)</f>
        <v>0.02252</v>
      </c>
    </row>
    <row r="103" customFormat="false" ht="15" hidden="false" customHeight="true" outlineLevel="0" collapsed="false">
      <c r="A103" s="3" t="n">
        <v>100</v>
      </c>
      <c r="B103" s="10" t="n">
        <f aca="false">Engine!C110</f>
        <v>55380</v>
      </c>
      <c r="C103" s="56"/>
      <c r="D103" s="57" t="n">
        <f aca="false">IF(AND(Inputs!$G$18=1,C103&lt;&gt;""),C103,Inputs!$G$17)</f>
        <v>0.02252</v>
      </c>
    </row>
    <row r="104" customFormat="false" ht="15" hidden="false" customHeight="true" outlineLevel="0" collapsed="false">
      <c r="A104" s="3" t="n">
        <v>101</v>
      </c>
      <c r="B104" s="10" t="n">
        <f aca="false">Engine!C111</f>
        <v>55472</v>
      </c>
      <c r="C104" s="56"/>
      <c r="D104" s="57" t="n">
        <f aca="false">IF(AND(Inputs!$G$18=1,C104&lt;&gt;""),C104,Inputs!$G$17)</f>
        <v>0.02252</v>
      </c>
    </row>
    <row r="105" customFormat="false" ht="15" hidden="false" customHeight="true" outlineLevel="0" collapsed="false">
      <c r="A105" s="3" t="n">
        <v>102</v>
      </c>
      <c r="B105" s="10" t="n">
        <f aca="false">Engine!C112</f>
        <v>55564</v>
      </c>
      <c r="C105" s="56"/>
      <c r="D105" s="57" t="n">
        <f aca="false">IF(AND(Inputs!$G$18=1,C105&lt;&gt;""),C105,Inputs!$G$17)</f>
        <v>0.02252</v>
      </c>
    </row>
    <row r="106" customFormat="false" ht="15" hidden="false" customHeight="true" outlineLevel="0" collapsed="false">
      <c r="A106" s="3" t="n">
        <v>103</v>
      </c>
      <c r="B106" s="10" t="n">
        <f aca="false">Engine!C113</f>
        <v>55654</v>
      </c>
      <c r="C106" s="56"/>
      <c r="D106" s="57" t="n">
        <f aca="false">IF(AND(Inputs!$G$18=1,C106&lt;&gt;""),C106,Inputs!$G$17)</f>
        <v>0.02252</v>
      </c>
    </row>
    <row r="107" customFormat="false" ht="15" hidden="false" customHeight="true" outlineLevel="0" collapsed="false">
      <c r="A107" s="3" t="n">
        <v>104</v>
      </c>
      <c r="B107" s="10" t="n">
        <f aca="false">Engine!C114</f>
        <v>55746</v>
      </c>
      <c r="C107" s="56"/>
      <c r="D107" s="57" t="n">
        <f aca="false">IF(AND(Inputs!$G$18=1,C107&lt;&gt;""),C107,Inputs!$G$17)</f>
        <v>0.02252</v>
      </c>
    </row>
    <row r="108" customFormat="false" ht="15" hidden="false" customHeight="true" outlineLevel="0" collapsed="false">
      <c r="A108" s="3" t="n">
        <v>105</v>
      </c>
      <c r="B108" s="10" t="n">
        <f aca="false">Engine!C115</f>
        <v>55838</v>
      </c>
      <c r="C108" s="56"/>
      <c r="D108" s="57" t="n">
        <f aca="false">IF(AND(Inputs!$G$18=1,C108&lt;&gt;""),C108,Inputs!$G$17)</f>
        <v>0.02252</v>
      </c>
    </row>
    <row r="109" customFormat="false" ht="15" hidden="false" customHeight="true" outlineLevel="0" collapsed="false">
      <c r="A109" s="3" t="n">
        <v>106</v>
      </c>
      <c r="B109" s="10" t="n">
        <f aca="false">Engine!C116</f>
        <v>55932</v>
      </c>
      <c r="C109" s="56"/>
      <c r="D109" s="57" t="n">
        <f aca="false">IF(AND(Inputs!$G$18=1,C109&lt;&gt;""),C109,Inputs!$G$17)</f>
        <v>0.02252</v>
      </c>
    </row>
    <row r="110" customFormat="false" ht="15" hidden="false" customHeight="true" outlineLevel="0" collapsed="false">
      <c r="A110" s="3" t="n">
        <v>107</v>
      </c>
      <c r="B110" s="10" t="n">
        <f aca="false">Engine!C117</f>
        <v>56019</v>
      </c>
      <c r="C110" s="56"/>
      <c r="D110" s="57" t="n">
        <f aca="false">IF(AND(Inputs!$G$18=1,C110&lt;&gt;""),C110,Inputs!$G$17)</f>
        <v>0.02252</v>
      </c>
    </row>
    <row r="111" customFormat="false" ht="15" hidden="false" customHeight="true" outlineLevel="0" collapsed="false">
      <c r="A111" s="3" t="n">
        <v>108</v>
      </c>
      <c r="B111" s="10" t="n">
        <f aca="false">Engine!C118</f>
        <v>56111</v>
      </c>
      <c r="C111" s="56"/>
      <c r="D111" s="57" t="n">
        <f aca="false">IF(AND(Inputs!$G$18=1,C111&lt;&gt;""),C111,Inputs!$G$17)</f>
        <v>0.02252</v>
      </c>
    </row>
    <row r="112" customFormat="false" ht="15" hidden="false" customHeight="true" outlineLevel="0" collapsed="false">
      <c r="A112" s="3" t="n">
        <v>109</v>
      </c>
      <c r="B112" s="10" t="n">
        <f aca="false">Engine!C119</f>
        <v>56205</v>
      </c>
      <c r="C112" s="56"/>
      <c r="D112" s="57" t="n">
        <f aca="false">IF(AND(Inputs!$G$18=1,C112&lt;&gt;""),C112,Inputs!$G$17)</f>
        <v>0.02252</v>
      </c>
    </row>
    <row r="113" customFormat="false" ht="15" hidden="false" customHeight="true" outlineLevel="0" collapsed="false">
      <c r="A113" s="3" t="n">
        <v>110</v>
      </c>
      <c r="B113" s="10" t="n">
        <f aca="false">Engine!C120</f>
        <v>56296</v>
      </c>
      <c r="C113" s="56"/>
      <c r="D113" s="57" t="n">
        <f aca="false">IF(AND(Inputs!$G$18=1,C113&lt;&gt;""),C113,Inputs!$G$17)</f>
        <v>0.02252</v>
      </c>
    </row>
    <row r="114" customFormat="false" ht="15" hidden="false" customHeight="true" outlineLevel="0" collapsed="false">
      <c r="A114" s="3" t="n">
        <v>111</v>
      </c>
      <c r="B114" s="10" t="n">
        <f aca="false">Engine!C121</f>
        <v>56384</v>
      </c>
      <c r="C114" s="56"/>
      <c r="D114" s="57" t="n">
        <f aca="false">IF(AND(Inputs!$G$18=1,C114&lt;&gt;""),C114,Inputs!$G$17)</f>
        <v>0.02252</v>
      </c>
    </row>
    <row r="115" customFormat="false" ht="15" hidden="false" customHeight="true" outlineLevel="0" collapsed="false">
      <c r="A115" s="3" t="n">
        <v>112</v>
      </c>
      <c r="B115" s="10" t="n">
        <f aca="false">Engine!C122</f>
        <v>56478</v>
      </c>
      <c r="C115" s="56"/>
      <c r="D115" s="57" t="n">
        <f aca="false">IF(AND(Inputs!$G$18=1,C115&lt;&gt;""),C115,Inputs!$G$17)</f>
        <v>0.02252</v>
      </c>
    </row>
    <row r="116" customFormat="false" ht="15" hidden="false" customHeight="true" outlineLevel="0" collapsed="false">
      <c r="A116" s="3" t="n">
        <v>113</v>
      </c>
      <c r="B116" s="10" t="n">
        <f aca="false">Engine!C123</f>
        <v>56569</v>
      </c>
      <c r="C116" s="56"/>
      <c r="D116" s="57" t="n">
        <f aca="false">IF(AND(Inputs!$G$18=1,C116&lt;&gt;""),C116,Inputs!$G$17)</f>
        <v>0.02252</v>
      </c>
    </row>
    <row r="117" customFormat="false" ht="15" hidden="false" customHeight="true" outlineLevel="0" collapsed="false">
      <c r="A117" s="3" t="n">
        <v>114</v>
      </c>
      <c r="B117" s="10" t="n">
        <f aca="false">Engine!C124</f>
        <v>56660</v>
      </c>
      <c r="C117" s="56"/>
      <c r="D117" s="57" t="n">
        <f aca="false">IF(AND(Inputs!$G$18=1,C117&lt;&gt;""),C117,Inputs!$G$17)</f>
        <v>0.02252</v>
      </c>
    </row>
    <row r="118" customFormat="false" ht="15" hidden="false" customHeight="true" outlineLevel="0" collapsed="false">
      <c r="A118" s="3" t="n">
        <v>115</v>
      </c>
      <c r="B118" s="10" t="n">
        <f aca="false">Engine!C125</f>
        <v>56751</v>
      </c>
      <c r="C118" s="56"/>
      <c r="D118" s="57" t="n">
        <f aca="false">IF(AND(Inputs!$G$18=1,C118&lt;&gt;""),C118,Inputs!$G$17)</f>
        <v>0.02252</v>
      </c>
    </row>
    <row r="119" customFormat="false" ht="15" hidden="false" customHeight="true" outlineLevel="0" collapsed="false">
      <c r="A119" s="3" t="n">
        <v>116</v>
      </c>
      <c r="B119" s="10" t="n">
        <f aca="false">Engine!C126</f>
        <v>56842</v>
      </c>
      <c r="C119" s="56"/>
      <c r="D119" s="57" t="n">
        <f aca="false">IF(AND(Inputs!$G$18=1,C119&lt;&gt;""),C119,Inputs!$G$17)</f>
        <v>0.02252</v>
      </c>
    </row>
    <row r="120" customFormat="false" ht="15" hidden="false" customHeight="true" outlineLevel="0" collapsed="false">
      <c r="A120" s="3" t="n">
        <v>117</v>
      </c>
      <c r="B120" s="10" t="n">
        <f aca="false">Engine!C127</f>
        <v>56933</v>
      </c>
      <c r="C120" s="56"/>
      <c r="D120" s="57" t="n">
        <f aca="false">IF(AND(Inputs!$G$18=1,C120&lt;&gt;""),C120,Inputs!$G$17)</f>
        <v>0.02252</v>
      </c>
    </row>
    <row r="121" customFormat="false" ht="15" hidden="false" customHeight="true" outlineLevel="0" collapsed="false">
      <c r="A121" s="3" t="n">
        <v>118</v>
      </c>
      <c r="B121" s="10" t="n">
        <f aca="false">Engine!C128</f>
        <v>57025</v>
      </c>
      <c r="C121" s="56"/>
      <c r="D121" s="57" t="n">
        <f aca="false">IF(AND(Inputs!$G$18=1,C121&lt;&gt;""),C121,Inputs!$G$17)</f>
        <v>0.02252</v>
      </c>
    </row>
    <row r="122" customFormat="false" ht="15" hidden="false" customHeight="true" outlineLevel="0" collapsed="false">
      <c r="A122" s="3" t="n">
        <v>119</v>
      </c>
      <c r="B122" s="10" t="n">
        <f aca="false">Engine!C129</f>
        <v>57115</v>
      </c>
      <c r="C122" s="56"/>
      <c r="D122" s="57" t="n">
        <f aca="false">IF(AND(Inputs!$G$18=1,C122&lt;&gt;""),C122,Inputs!$G$17)</f>
        <v>0.02252</v>
      </c>
    </row>
    <row r="123" customFormat="false" ht="15" hidden="false" customHeight="true" outlineLevel="0" collapsed="false">
      <c r="A123" s="3" t="n">
        <v>120</v>
      </c>
      <c r="B123" s="10" t="n">
        <f aca="false">Engine!C130</f>
        <v>57207</v>
      </c>
      <c r="C123" s="56"/>
      <c r="D123" s="57" t="n">
        <f aca="false">IF(AND(Inputs!$G$18=1,C123&lt;&gt;""),C123,Inputs!$G$17)</f>
        <v>0.02252</v>
      </c>
    </row>
    <row r="124" customFormat="false" ht="15" hidden="false" customHeight="true" outlineLevel="0" collapsed="false">
      <c r="A124" s="3" t="n">
        <v>121</v>
      </c>
      <c r="B124" s="10" t="n">
        <f aca="false">Engine!C131</f>
        <v>57299</v>
      </c>
      <c r="C124" s="56"/>
      <c r="D124" s="57" t="n">
        <f aca="false">IF(AND(Inputs!$G$18=1,C124&lt;&gt;""),C124,Inputs!$G$17)</f>
        <v>0.02252</v>
      </c>
    </row>
    <row r="125" customFormat="false" ht="15" hidden="false" customHeight="true" outlineLevel="0" collapsed="false">
      <c r="A125" s="3" t="n">
        <v>122</v>
      </c>
      <c r="B125" s="10" t="n">
        <f aca="false">Engine!C132</f>
        <v>57391</v>
      </c>
      <c r="C125" s="56"/>
      <c r="D125" s="57" t="n">
        <f aca="false">IF(AND(Inputs!$G$18=1,C125&lt;&gt;""),C125,Inputs!$G$17)</f>
        <v>0.02252</v>
      </c>
    </row>
    <row r="126" customFormat="false" ht="15" hidden="false" customHeight="true" outlineLevel="0" collapsed="false">
      <c r="A126" s="3" t="n">
        <v>123</v>
      </c>
      <c r="B126" s="10" t="n">
        <f aca="false">Engine!C133</f>
        <v>57480</v>
      </c>
      <c r="C126" s="56"/>
      <c r="D126" s="57" t="n">
        <f aca="false">IF(AND(Inputs!$G$18=1,C126&lt;&gt;""),C126,Inputs!$G$17)</f>
        <v>0.02252</v>
      </c>
    </row>
    <row r="127" customFormat="false" ht="15" hidden="false" customHeight="true" outlineLevel="0" collapsed="false">
      <c r="A127" s="3" t="n">
        <v>124</v>
      </c>
      <c r="B127" s="10" t="n">
        <f aca="false">Engine!C134</f>
        <v>57572</v>
      </c>
      <c r="C127" s="56"/>
      <c r="D127" s="57" t="n">
        <f aca="false">IF(AND(Inputs!$G$18=1,C127&lt;&gt;""),C127,Inputs!$G$17)</f>
        <v>0.02252</v>
      </c>
    </row>
    <row r="128" customFormat="false" ht="15" hidden="false" customHeight="true" outlineLevel="0" collapsed="false">
      <c r="A128" s="3" t="n">
        <v>125</v>
      </c>
      <c r="B128" s="10" t="n">
        <f aca="false">Engine!C135</f>
        <v>57664</v>
      </c>
      <c r="C128" s="56"/>
      <c r="D128" s="57" t="n">
        <f aca="false">IF(AND(Inputs!$G$18=1,C128&lt;&gt;""),C128,Inputs!$G$17)</f>
        <v>0.02252</v>
      </c>
    </row>
    <row r="129" customFormat="false" ht="15" hidden="false" customHeight="true" outlineLevel="0" collapsed="false">
      <c r="A129" s="3" t="n">
        <v>126</v>
      </c>
      <c r="B129" s="10" t="n">
        <f aca="false">Engine!C136</f>
        <v>57756</v>
      </c>
      <c r="C129" s="56"/>
      <c r="D129" s="57" t="n">
        <f aca="false">IF(AND(Inputs!$G$18=1,C129&lt;&gt;""),C129,Inputs!$G$17)</f>
        <v>0.02252</v>
      </c>
    </row>
    <row r="130" customFormat="false" ht="15" hidden="false" customHeight="true" outlineLevel="0" collapsed="false">
      <c r="A130" s="3" t="n">
        <v>127</v>
      </c>
      <c r="B130" s="10" t="n">
        <f aca="false">Engine!C137</f>
        <v>57845</v>
      </c>
      <c r="C130" s="56"/>
      <c r="D130" s="57" t="n">
        <f aca="false">IF(AND(Inputs!$G$18=1,C130&lt;&gt;""),C130,Inputs!$G$17)</f>
        <v>0.02252</v>
      </c>
    </row>
    <row r="131" customFormat="false" ht="15" hidden="false" customHeight="true" outlineLevel="0" collapsed="false">
      <c r="A131" s="3" t="n">
        <v>128</v>
      </c>
      <c r="B131" s="10" t="n">
        <f aca="false">Engine!C138</f>
        <v>57937</v>
      </c>
      <c r="C131" s="56"/>
      <c r="D131" s="57" t="n">
        <f aca="false">IF(AND(Inputs!$G$18=1,C131&lt;&gt;""),C131,Inputs!$G$17)</f>
        <v>0.02252</v>
      </c>
    </row>
    <row r="132" customFormat="false" ht="15" hidden="false" customHeight="true" outlineLevel="0" collapsed="false">
      <c r="A132" s="3" t="n">
        <v>129</v>
      </c>
      <c r="B132" s="10" t="n">
        <f aca="false">Engine!C139</f>
        <v>58029</v>
      </c>
      <c r="C132" s="56"/>
      <c r="D132" s="57" t="n">
        <f aca="false">IF(AND(Inputs!$G$18=1,C132&lt;&gt;""),C132,Inputs!$G$17)</f>
        <v>0.02252</v>
      </c>
    </row>
    <row r="133" customFormat="false" ht="15" hidden="false" customHeight="true" outlineLevel="0" collapsed="false">
      <c r="A133" s="3" t="n">
        <v>130</v>
      </c>
      <c r="B133" s="10" t="n">
        <f aca="false">Engine!C140</f>
        <v>58123</v>
      </c>
      <c r="C133" s="56"/>
      <c r="D133" s="57" t="n">
        <f aca="false">IF(AND(Inputs!$G$18=1,C133&lt;&gt;""),C133,Inputs!$G$17)</f>
        <v>0.02252</v>
      </c>
    </row>
    <row r="134" customFormat="false" ht="15" hidden="false" customHeight="true" outlineLevel="0" collapsed="false">
      <c r="A134" s="3" t="n">
        <v>131</v>
      </c>
      <c r="B134" s="10" t="n">
        <f aca="false">Engine!C141</f>
        <v>58210</v>
      </c>
      <c r="C134" s="56"/>
      <c r="D134" s="57" t="n">
        <f aca="false">IF(AND(Inputs!$G$18=1,C134&lt;&gt;""),C134,Inputs!$G$17)</f>
        <v>0.02252</v>
      </c>
    </row>
    <row r="135" customFormat="false" ht="15" hidden="false" customHeight="true" outlineLevel="0" collapsed="false">
      <c r="A135" s="3" t="n">
        <v>132</v>
      </c>
      <c r="B135" s="10" t="n">
        <f aca="false">Engine!C142</f>
        <v>58302</v>
      </c>
      <c r="C135" s="56"/>
      <c r="D135" s="57" t="n">
        <f aca="false">IF(AND(Inputs!$G$18=1,C135&lt;&gt;""),C135,Inputs!$G$17)</f>
        <v>0.02252</v>
      </c>
    </row>
    <row r="136" customFormat="false" ht="15" hidden="false" customHeight="true" outlineLevel="0" collapsed="false">
      <c r="A136" s="3" t="n">
        <v>133</v>
      </c>
      <c r="B136" s="10" t="n">
        <f aca="false">Engine!C143</f>
        <v>58396</v>
      </c>
      <c r="C136" s="56"/>
      <c r="D136" s="57" t="n">
        <f aca="false">IF(AND(Inputs!$G$18=1,C136&lt;&gt;""),C136,Inputs!$G$17)</f>
        <v>0.02252</v>
      </c>
    </row>
    <row r="137" customFormat="false" ht="15" hidden="false" customHeight="true" outlineLevel="0" collapsed="false">
      <c r="A137" s="3" t="n">
        <v>134</v>
      </c>
      <c r="B137" s="10" t="n">
        <f aca="false">Engine!C144</f>
        <v>58487</v>
      </c>
      <c r="C137" s="56"/>
      <c r="D137" s="57" t="n">
        <f aca="false">IF(AND(Inputs!$G$18=1,C137&lt;&gt;""),C137,Inputs!$G$17)</f>
        <v>0.02252</v>
      </c>
    </row>
    <row r="138" customFormat="false" ht="15" hidden="false" customHeight="true" outlineLevel="0" collapsed="false">
      <c r="A138" s="3" t="n">
        <v>135</v>
      </c>
      <c r="B138" s="10" t="n">
        <f aca="false">Engine!C145</f>
        <v>58578</v>
      </c>
      <c r="C138" s="56"/>
      <c r="D138" s="57" t="n">
        <f aca="false">IF(AND(Inputs!$G$18=1,C138&lt;&gt;""),C138,Inputs!$G$17)</f>
        <v>0.02252</v>
      </c>
    </row>
    <row r="139" customFormat="false" ht="15" hidden="false" customHeight="true" outlineLevel="0" collapsed="false">
      <c r="A139" s="3" t="n">
        <v>136</v>
      </c>
      <c r="B139" s="10" t="n">
        <f aca="false">Engine!C146</f>
        <v>58669</v>
      </c>
      <c r="C139" s="56"/>
      <c r="D139" s="57" t="n">
        <f aca="false">IF(AND(Inputs!$G$18=1,C139&lt;&gt;""),C139,Inputs!$G$17)</f>
        <v>0.02252</v>
      </c>
    </row>
    <row r="140" customFormat="false" ht="15" hidden="false" customHeight="true" outlineLevel="0" collapsed="false">
      <c r="A140" s="3" t="n">
        <v>137</v>
      </c>
      <c r="B140" s="10" t="n">
        <f aca="false">Engine!C147</f>
        <v>58760</v>
      </c>
      <c r="C140" s="56"/>
      <c r="D140" s="57" t="n">
        <f aca="false">IF(AND(Inputs!$G$18=1,C140&lt;&gt;""),C140,Inputs!$G$17)</f>
        <v>0.02252</v>
      </c>
    </row>
    <row r="141" customFormat="false" ht="15" hidden="false" customHeight="true" outlineLevel="0" collapsed="false">
      <c r="A141" s="3" t="n">
        <v>138</v>
      </c>
      <c r="B141" s="10" t="n">
        <f aca="false">Engine!C148</f>
        <v>58852</v>
      </c>
      <c r="C141" s="56"/>
      <c r="D141" s="57" t="n">
        <f aca="false">IF(AND(Inputs!$G$18=1,C141&lt;&gt;""),C141,Inputs!$G$17)</f>
        <v>0.02252</v>
      </c>
    </row>
    <row r="142" customFormat="false" ht="15" hidden="false" customHeight="true" outlineLevel="0" collapsed="false">
      <c r="A142" s="3" t="n">
        <v>139</v>
      </c>
      <c r="B142" s="10" t="n">
        <f aca="false">Engine!C149</f>
        <v>58942</v>
      </c>
      <c r="C142" s="56"/>
      <c r="D142" s="57" t="n">
        <f aca="false">IF(AND(Inputs!$G$18=1,C142&lt;&gt;""),C142,Inputs!$G$17)</f>
        <v>0.02252</v>
      </c>
    </row>
    <row r="143" customFormat="false" ht="15" hidden="false" customHeight="true" outlineLevel="0" collapsed="false">
      <c r="A143" s="3" t="n">
        <v>140</v>
      </c>
      <c r="B143" s="10" t="n">
        <f aca="false">Engine!C150</f>
        <v>59033</v>
      </c>
      <c r="C143" s="56"/>
      <c r="D143" s="57" t="n">
        <f aca="false">IF(AND(Inputs!$G$18=1,C143&lt;&gt;""),C143,Inputs!$G$17)</f>
        <v>0.02252</v>
      </c>
    </row>
    <row r="144" customFormat="false" ht="15" hidden="false" customHeight="true" outlineLevel="0" collapsed="false">
      <c r="A144" s="3" t="n">
        <v>141</v>
      </c>
      <c r="B144" s="10" t="n">
        <f aca="false">Engine!C151</f>
        <v>59125</v>
      </c>
      <c r="C144" s="56"/>
      <c r="D144" s="57" t="n">
        <f aca="false">IF(AND(Inputs!$G$18=1,C144&lt;&gt;""),C144,Inputs!$G$17)</f>
        <v>0.02252</v>
      </c>
    </row>
    <row r="145" customFormat="false" ht="15" hidden="false" customHeight="true" outlineLevel="0" collapsed="false">
      <c r="A145" s="3" t="n">
        <v>142</v>
      </c>
      <c r="B145" s="10" t="n">
        <f aca="false">Engine!C152</f>
        <v>59217</v>
      </c>
      <c r="C145" s="56"/>
      <c r="D145" s="57" t="n">
        <f aca="false">IF(AND(Inputs!$G$18=1,C145&lt;&gt;""),C145,Inputs!$G$17)</f>
        <v>0.02252</v>
      </c>
    </row>
    <row r="146" customFormat="false" ht="15" hidden="false" customHeight="true" outlineLevel="0" collapsed="false">
      <c r="A146" s="3" t="n">
        <v>143</v>
      </c>
      <c r="B146" s="10" t="n">
        <f aca="false">Engine!C153</f>
        <v>59306</v>
      </c>
      <c r="C146" s="56"/>
      <c r="D146" s="57" t="n">
        <f aca="false">IF(AND(Inputs!$G$18=1,C146&lt;&gt;""),C146,Inputs!$G$17)</f>
        <v>0.02252</v>
      </c>
    </row>
    <row r="147" customFormat="false" ht="15" hidden="false" customHeight="true" outlineLevel="0" collapsed="false">
      <c r="A147" s="3" t="n">
        <v>144</v>
      </c>
      <c r="B147" s="10" t="n">
        <f aca="false">Engine!C154</f>
        <v>59398</v>
      </c>
      <c r="C147" s="56"/>
      <c r="D147" s="57" t="n">
        <f aca="false">IF(AND(Inputs!$G$18=1,C147&lt;&gt;""),C147,Inputs!$G$17)</f>
        <v>0.02252</v>
      </c>
    </row>
    <row r="148" customFormat="false" ht="15" hidden="false" customHeight="true" outlineLevel="0" collapsed="false">
      <c r="A148" s="3" t="n">
        <v>145</v>
      </c>
      <c r="B148" s="10" t="n">
        <f aca="false">Engine!C155</f>
        <v>59490</v>
      </c>
      <c r="C148" s="56"/>
      <c r="D148" s="57" t="n">
        <f aca="false">IF(AND(Inputs!$G$18=1,C148&lt;&gt;""),C148,Inputs!$G$17)</f>
        <v>0.02252</v>
      </c>
    </row>
    <row r="149" customFormat="false" ht="15" hidden="false" customHeight="true" outlineLevel="0" collapsed="false">
      <c r="A149" s="3" t="n">
        <v>146</v>
      </c>
      <c r="B149" s="10" t="n">
        <f aca="false">Engine!C156</f>
        <v>59582</v>
      </c>
      <c r="C149" s="56"/>
      <c r="D149" s="57" t="n">
        <f aca="false">IF(AND(Inputs!$G$18=1,C149&lt;&gt;""),C149,Inputs!$G$17)</f>
        <v>0.02252</v>
      </c>
    </row>
    <row r="150" customFormat="false" ht="15" hidden="false" customHeight="true" outlineLevel="0" collapsed="false">
      <c r="A150" s="3" t="n">
        <v>147</v>
      </c>
      <c r="B150" s="10" t="n">
        <f aca="false">Engine!C157</f>
        <v>59671</v>
      </c>
      <c r="C150" s="56"/>
      <c r="D150" s="57" t="n">
        <f aca="false">IF(AND(Inputs!$G$18=1,C150&lt;&gt;""),C150,Inputs!$G$17)</f>
        <v>0.02252</v>
      </c>
    </row>
    <row r="151" customFormat="false" ht="15" hidden="false" customHeight="true" outlineLevel="0" collapsed="false">
      <c r="A151" s="3" t="n">
        <v>148</v>
      </c>
      <c r="B151" s="10" t="n">
        <f aca="false">Engine!C158</f>
        <v>59763</v>
      </c>
      <c r="C151" s="56"/>
      <c r="D151" s="57" t="n">
        <f aca="false">IF(AND(Inputs!$G$18=1,C151&lt;&gt;""),C151,Inputs!$G$17)</f>
        <v>0.02252</v>
      </c>
    </row>
    <row r="152" customFormat="false" ht="15" hidden="false" customHeight="true" outlineLevel="0" collapsed="false">
      <c r="A152" s="3" t="n">
        <v>149</v>
      </c>
      <c r="B152" s="10" t="n">
        <f aca="false">Engine!C159</f>
        <v>59855</v>
      </c>
      <c r="C152" s="56"/>
      <c r="D152" s="57" t="n">
        <f aca="false">IF(AND(Inputs!$G$18=1,C152&lt;&gt;""),C152,Inputs!$G$17)</f>
        <v>0.02252</v>
      </c>
    </row>
    <row r="153" customFormat="false" ht="15" hidden="false" customHeight="true" outlineLevel="0" collapsed="false">
      <c r="A153" s="3" t="n">
        <v>150</v>
      </c>
      <c r="B153" s="10" t="n">
        <f aca="false">Engine!C160</f>
        <v>59947</v>
      </c>
      <c r="C153" s="56"/>
      <c r="D153" s="57" t="n">
        <f aca="false">IF(AND(Inputs!$G$18=1,C153&lt;&gt;""),C153,Inputs!$G$17)</f>
        <v>0.02252</v>
      </c>
    </row>
    <row r="154" customFormat="false" ht="15" hidden="false" customHeight="true" outlineLevel="0" collapsed="false">
      <c r="A154" s="3" t="n">
        <v>151</v>
      </c>
      <c r="B154" s="10" t="n">
        <f aca="false">Engine!C161</f>
        <v>60037</v>
      </c>
      <c r="C154" s="56"/>
      <c r="D154" s="57" t="n">
        <f aca="false">IF(AND(Inputs!$G$18=1,C154&lt;&gt;""),C154,Inputs!$G$17)</f>
        <v>0.02252</v>
      </c>
    </row>
    <row r="155" customFormat="false" ht="15" hidden="false" customHeight="true" outlineLevel="0" collapsed="false">
      <c r="A155" s="3" t="n">
        <v>152</v>
      </c>
      <c r="B155" s="10" t="n">
        <f aca="false">Engine!C162</f>
        <v>60129</v>
      </c>
      <c r="C155" s="56"/>
      <c r="D155" s="57" t="n">
        <f aca="false">IF(AND(Inputs!$G$18=1,C155&lt;&gt;""),C155,Inputs!$G$17)</f>
        <v>0.02252</v>
      </c>
    </row>
    <row r="156" customFormat="false" ht="15" hidden="false" customHeight="true" outlineLevel="0" collapsed="false">
      <c r="A156" s="3" t="n">
        <v>153</v>
      </c>
      <c r="B156" s="10" t="n">
        <f aca="false">Engine!C163</f>
        <v>60223</v>
      </c>
      <c r="C156" s="56"/>
      <c r="D156" s="57" t="n">
        <f aca="false">IF(AND(Inputs!$G$18=1,C156&lt;&gt;""),C156,Inputs!$G$17)</f>
        <v>0.02252</v>
      </c>
    </row>
    <row r="157" customFormat="false" ht="15" hidden="false" customHeight="true" outlineLevel="0" collapsed="false">
      <c r="A157" s="3" t="n">
        <v>154</v>
      </c>
      <c r="B157" s="10" t="n">
        <f aca="false">Engine!C164</f>
        <v>60314</v>
      </c>
      <c r="C157" s="56"/>
      <c r="D157" s="57" t="n">
        <f aca="false">IF(AND(Inputs!$G$18=1,C157&lt;&gt;""),C157,Inputs!$G$17)</f>
        <v>0.02252</v>
      </c>
    </row>
    <row r="158" customFormat="false" ht="15" hidden="false" customHeight="true" outlineLevel="0" collapsed="false">
      <c r="A158" s="3" t="n">
        <v>155</v>
      </c>
      <c r="B158" s="10" t="n">
        <f aca="false">Engine!C165</f>
        <v>60402</v>
      </c>
      <c r="C158" s="56"/>
      <c r="D158" s="57" t="n">
        <f aca="false">IF(AND(Inputs!$G$18=1,C158&lt;&gt;""),C158,Inputs!$G$17)</f>
        <v>0.02252</v>
      </c>
    </row>
    <row r="159" customFormat="false" ht="15" hidden="false" customHeight="true" outlineLevel="0" collapsed="false">
      <c r="A159" s="3" t="n">
        <v>156</v>
      </c>
      <c r="B159" s="10" t="n">
        <f aca="false">Engine!C166</f>
        <v>60496</v>
      </c>
      <c r="C159" s="56"/>
      <c r="D159" s="57" t="n">
        <f aca="false">IF(AND(Inputs!$G$18=1,C159&lt;&gt;""),C159,Inputs!$G$17)</f>
        <v>0.02252</v>
      </c>
    </row>
    <row r="160" customFormat="false" ht="15" hidden="false" customHeight="true" outlineLevel="0" collapsed="false">
      <c r="A160" s="3" t="n">
        <v>157</v>
      </c>
      <c r="B160" s="10" t="n">
        <f aca="false">Engine!C167</f>
        <v>60587</v>
      </c>
      <c r="C160" s="56"/>
      <c r="D160" s="57" t="n">
        <f aca="false">IF(AND(Inputs!$G$18=1,C160&lt;&gt;""),C160,Inputs!$G$17)</f>
        <v>0.02252</v>
      </c>
    </row>
    <row r="161" customFormat="false" ht="15" hidden="false" customHeight="true" outlineLevel="0" collapsed="false">
      <c r="A161" s="3" t="n">
        <v>158</v>
      </c>
      <c r="B161" s="10" t="n">
        <f aca="false">Engine!C168</f>
        <v>60678</v>
      </c>
      <c r="C161" s="56"/>
      <c r="D161" s="57" t="n">
        <f aca="false">IF(AND(Inputs!$G$18=1,C161&lt;&gt;""),C161,Inputs!$G$17)</f>
        <v>0.02252</v>
      </c>
    </row>
    <row r="162" customFormat="false" ht="15" hidden="false" customHeight="true" outlineLevel="0" collapsed="false">
      <c r="A162" s="3" t="n">
        <v>159</v>
      </c>
      <c r="B162" s="10" t="n">
        <f aca="false">Engine!C169</f>
        <v>60769</v>
      </c>
      <c r="C162" s="56"/>
      <c r="D162" s="57" t="n">
        <f aca="false">IF(AND(Inputs!$G$18=1,C162&lt;&gt;""),C162,Inputs!$G$17)</f>
        <v>0.02252</v>
      </c>
    </row>
    <row r="163" customFormat="false" ht="15" hidden="false" customHeight="true" outlineLevel="0" collapsed="false">
      <c r="A163" s="3" t="n">
        <v>160</v>
      </c>
      <c r="B163" s="10" t="n">
        <f aca="false">Engine!C170</f>
        <v>60860</v>
      </c>
      <c r="C163" s="56"/>
      <c r="D163" s="57" t="n">
        <f aca="false">IF(AND(Inputs!$G$18=1,C163&lt;&gt;""),C163,Inputs!$G$17)</f>
        <v>0.02252</v>
      </c>
    </row>
    <row r="164" customFormat="false" ht="15" hidden="false" customHeight="true" outlineLevel="0" collapsed="false">
      <c r="A164" s="3" t="n">
        <v>161</v>
      </c>
      <c r="B164" s="10" t="n">
        <f aca="false">Engine!C171</f>
        <v>60951</v>
      </c>
      <c r="C164" s="56"/>
      <c r="D164" s="57" t="n">
        <f aca="false">IF(AND(Inputs!$G$18=1,C164&lt;&gt;""),C164,Inputs!$G$17)</f>
        <v>0.02252</v>
      </c>
    </row>
    <row r="165" customFormat="false" ht="15" hidden="false" customHeight="true" outlineLevel="0" collapsed="false">
      <c r="A165" s="3" t="n">
        <v>162</v>
      </c>
      <c r="B165" s="10" t="n">
        <f aca="false">Engine!C172</f>
        <v>61043</v>
      </c>
      <c r="C165" s="56"/>
      <c r="D165" s="57" t="n">
        <f aca="false">IF(AND(Inputs!$G$18=1,C165&lt;&gt;""),C165,Inputs!$G$17)</f>
        <v>0.02252</v>
      </c>
    </row>
    <row r="166" customFormat="false" ht="15" hidden="false" customHeight="true" outlineLevel="0" collapsed="false">
      <c r="A166" s="3" t="n">
        <v>163</v>
      </c>
      <c r="B166" s="10" t="n">
        <f aca="false">Engine!C173</f>
        <v>61133</v>
      </c>
      <c r="C166" s="56"/>
      <c r="D166" s="57" t="n">
        <f aca="false">IF(AND(Inputs!$G$18=1,C166&lt;&gt;""),C166,Inputs!$G$17)</f>
        <v>0.02252</v>
      </c>
    </row>
    <row r="167" customFormat="false" ht="15" hidden="false" customHeight="true" outlineLevel="0" collapsed="false">
      <c r="A167" s="3" t="n">
        <v>164</v>
      </c>
      <c r="B167" s="10" t="n">
        <f aca="false">Engine!C174</f>
        <v>61224</v>
      </c>
      <c r="C167" s="56"/>
      <c r="D167" s="57" t="n">
        <f aca="false">IF(AND(Inputs!$G$18=1,C167&lt;&gt;""),C167,Inputs!$G$17)</f>
        <v>0.02252</v>
      </c>
    </row>
    <row r="168" customFormat="false" ht="15" hidden="false" customHeight="true" outlineLevel="0" collapsed="false">
      <c r="A168" s="3" t="n">
        <v>165</v>
      </c>
      <c r="B168" s="10" t="n">
        <f aca="false">Engine!C175</f>
        <v>61316</v>
      </c>
      <c r="C168" s="56"/>
      <c r="D168" s="57" t="n">
        <f aca="false">IF(AND(Inputs!$G$18=1,C168&lt;&gt;""),C168,Inputs!$G$17)</f>
        <v>0.02252</v>
      </c>
    </row>
    <row r="169" customFormat="false" ht="15" hidden="false" customHeight="true" outlineLevel="0" collapsed="false">
      <c r="A169" s="3" t="n">
        <v>166</v>
      </c>
      <c r="B169" s="10" t="n">
        <f aca="false">Engine!C176</f>
        <v>61408</v>
      </c>
      <c r="C169" s="56"/>
      <c r="D169" s="57" t="n">
        <f aca="false">IF(AND(Inputs!$G$18=1,C169&lt;&gt;""),C169,Inputs!$G$17)</f>
        <v>0.02252</v>
      </c>
    </row>
    <row r="170" customFormat="false" ht="15" hidden="false" customHeight="true" outlineLevel="0" collapsed="false">
      <c r="A170" s="3" t="n">
        <v>167</v>
      </c>
      <c r="B170" s="10" t="n">
        <f aca="false">Engine!C177</f>
        <v>61498</v>
      </c>
      <c r="C170" s="56"/>
      <c r="D170" s="57" t="n">
        <f aca="false">IF(AND(Inputs!$G$18=1,C170&lt;&gt;""),C170,Inputs!$G$17)</f>
        <v>0.02252</v>
      </c>
    </row>
    <row r="171" customFormat="false" ht="15" hidden="false" customHeight="true" outlineLevel="0" collapsed="false">
      <c r="A171" s="3" t="n">
        <v>168</v>
      </c>
      <c r="B171" s="10" t="n">
        <f aca="false">Engine!C178</f>
        <v>61590</v>
      </c>
      <c r="C171" s="56"/>
      <c r="D171" s="57" t="n">
        <f aca="false">IF(AND(Inputs!$G$18=1,C171&lt;&gt;""),C171,Inputs!$G$17)</f>
        <v>0.02252</v>
      </c>
    </row>
    <row r="172" customFormat="false" ht="15" hidden="false" customHeight="true" outlineLevel="0" collapsed="false">
      <c r="A172" s="3" t="n">
        <v>169</v>
      </c>
      <c r="B172" s="10" t="n">
        <f aca="false">Engine!C179</f>
        <v>61682</v>
      </c>
      <c r="C172" s="56"/>
      <c r="D172" s="57" t="n">
        <f aca="false">IF(AND(Inputs!$G$18=1,C172&lt;&gt;""),C172,Inputs!$G$17)</f>
        <v>0.02252</v>
      </c>
    </row>
    <row r="173" customFormat="false" ht="15" hidden="false" customHeight="true" outlineLevel="0" collapsed="false">
      <c r="A173" s="3" t="n">
        <v>170</v>
      </c>
      <c r="B173" s="10" t="n">
        <f aca="false">Engine!C180</f>
        <v>61774</v>
      </c>
      <c r="C173" s="56"/>
      <c r="D173" s="57" t="n">
        <f aca="false">IF(AND(Inputs!$G$18=1,C173&lt;&gt;""),C173,Inputs!$G$17)</f>
        <v>0.02252</v>
      </c>
    </row>
    <row r="174" customFormat="false" ht="15" hidden="false" customHeight="true" outlineLevel="0" collapsed="false">
      <c r="A174" s="3" t="n">
        <v>171</v>
      </c>
      <c r="B174" s="10" t="n">
        <f aca="false">Engine!C181</f>
        <v>61863</v>
      </c>
      <c r="C174" s="56"/>
      <c r="D174" s="57" t="n">
        <f aca="false">IF(AND(Inputs!$G$18=1,C174&lt;&gt;""),C174,Inputs!$G$17)</f>
        <v>0.02252</v>
      </c>
    </row>
    <row r="175" customFormat="false" ht="15" hidden="false" customHeight="true" outlineLevel="0" collapsed="false">
      <c r="A175" s="3" t="n">
        <v>172</v>
      </c>
      <c r="B175" s="10" t="n">
        <f aca="false">Engine!C182</f>
        <v>61955</v>
      </c>
      <c r="C175" s="56"/>
      <c r="D175" s="57" t="n">
        <f aca="false">IF(AND(Inputs!$G$18=1,C175&lt;&gt;""),C175,Inputs!$G$17)</f>
        <v>0.02252</v>
      </c>
    </row>
    <row r="176" customFormat="false" ht="15" hidden="false" customHeight="true" outlineLevel="0" collapsed="false">
      <c r="A176" s="3" t="n">
        <v>173</v>
      </c>
      <c r="B176" s="10" t="n">
        <f aca="false">Engine!C183</f>
        <v>62047</v>
      </c>
      <c r="C176" s="56"/>
      <c r="D176" s="57" t="n">
        <f aca="false">IF(AND(Inputs!$G$18=1,C176&lt;&gt;""),C176,Inputs!$G$17)</f>
        <v>0.02252</v>
      </c>
    </row>
    <row r="177" customFormat="false" ht="15" hidden="false" customHeight="true" outlineLevel="0" collapsed="false">
      <c r="A177" s="3" t="n">
        <v>174</v>
      </c>
      <c r="B177" s="10" t="n">
        <f aca="false">Engine!C184</f>
        <v>62141</v>
      </c>
      <c r="C177" s="56"/>
      <c r="D177" s="57" t="n">
        <f aca="false">IF(AND(Inputs!$G$18=1,C177&lt;&gt;""),C177,Inputs!$G$17)</f>
        <v>0.02252</v>
      </c>
    </row>
    <row r="178" customFormat="false" ht="15" hidden="false" customHeight="true" outlineLevel="0" collapsed="false">
      <c r="A178" s="3" t="n">
        <v>175</v>
      </c>
      <c r="B178" s="10" t="n">
        <f aca="false">Engine!C185</f>
        <v>62228</v>
      </c>
      <c r="C178" s="56"/>
      <c r="D178" s="57" t="n">
        <f aca="false">IF(AND(Inputs!$G$18=1,C178&lt;&gt;""),C178,Inputs!$G$17)</f>
        <v>0.02252</v>
      </c>
    </row>
    <row r="179" customFormat="false" ht="15" hidden="false" customHeight="true" outlineLevel="0" collapsed="false">
      <c r="A179" s="3" t="n">
        <v>176</v>
      </c>
      <c r="B179" s="10" t="n">
        <f aca="false">Engine!C186</f>
        <v>62320</v>
      </c>
      <c r="C179" s="56"/>
      <c r="D179" s="57" t="n">
        <f aca="false">IF(AND(Inputs!$G$18=1,C179&lt;&gt;""),C179,Inputs!$G$17)</f>
        <v>0.02252</v>
      </c>
    </row>
    <row r="180" customFormat="false" ht="15" hidden="false" customHeight="true" outlineLevel="0" collapsed="false">
      <c r="A180" s="3" t="n">
        <v>177</v>
      </c>
      <c r="B180" s="10" t="n">
        <f aca="false">Engine!C187</f>
        <v>62414</v>
      </c>
      <c r="C180" s="56"/>
      <c r="D180" s="57" t="n">
        <f aca="false">IF(AND(Inputs!$G$18=1,C180&lt;&gt;""),C180,Inputs!$G$17)</f>
        <v>0.02252</v>
      </c>
    </row>
    <row r="181" customFormat="false" ht="15" hidden="false" customHeight="true" outlineLevel="0" collapsed="false">
      <c r="A181" s="3" t="n">
        <v>178</v>
      </c>
      <c r="B181" s="10" t="n">
        <f aca="false">Engine!C188</f>
        <v>62505</v>
      </c>
      <c r="C181" s="56"/>
      <c r="D181" s="57" t="n">
        <f aca="false">IF(AND(Inputs!$G$18=1,C181&lt;&gt;""),C181,Inputs!$G$17)</f>
        <v>0.02252</v>
      </c>
    </row>
    <row r="182" customFormat="false" ht="15" hidden="false" customHeight="true" outlineLevel="0" collapsed="false">
      <c r="A182" s="3" t="n">
        <v>179</v>
      </c>
      <c r="B182" s="10" t="n">
        <f aca="false">Engine!C189</f>
        <v>62593</v>
      </c>
      <c r="C182" s="56"/>
      <c r="D182" s="57" t="n">
        <f aca="false">IF(AND(Inputs!$G$18=1,C182&lt;&gt;""),C182,Inputs!$G$17)</f>
        <v>0.02252</v>
      </c>
    </row>
    <row r="183" customFormat="false" ht="15" hidden="false" customHeight="true" outlineLevel="0" collapsed="false">
      <c r="A183" s="3" t="n">
        <v>180</v>
      </c>
      <c r="B183" s="10" t="n">
        <f aca="false">Engine!C190</f>
        <v>62687</v>
      </c>
      <c r="C183" s="56"/>
      <c r="D183" s="57" t="n">
        <f aca="false">IF(AND(Inputs!$G$18=1,C183&lt;&gt;""),C183,Inputs!$G$17)</f>
        <v>0.02252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7" min="1" style="1" width="11"/>
  </cols>
  <sheetData>
    <row r="1" customFormat="false" ht="15" hidden="false" customHeight="true" outlineLevel="0" collapsed="false">
      <c r="A1" s="2" t="s">
        <v>243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</row>
    <row r="2" customFormat="false" ht="15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</row>
    <row r="3" customFormat="false" ht="1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</row>
    <row r="4" customFormat="false" ht="1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</row>
    <row r="5" customFormat="false" ht="1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</row>
    <row r="6" customFormat="false" ht="1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4" t="s">
        <v>244</v>
      </c>
      <c r="AO6" s="4" t="s">
        <v>245</v>
      </c>
      <c r="AP6" s="5"/>
      <c r="AQ6" s="4" t="s">
        <v>246</v>
      </c>
      <c r="AR6" s="5"/>
      <c r="AS6" s="4" t="s">
        <v>247</v>
      </c>
      <c r="AT6" s="5"/>
      <c r="AU6" s="4" t="s">
        <v>248</v>
      </c>
      <c r="AV6" s="5"/>
      <c r="AW6" s="4" t="s">
        <v>249</v>
      </c>
      <c r="AX6" s="5"/>
      <c r="AY6" s="4" t="s">
        <v>250</v>
      </c>
      <c r="AZ6" s="5"/>
      <c r="BA6" s="4" t="s">
        <v>251</v>
      </c>
      <c r="BB6" s="5"/>
      <c r="BC6" s="4" t="s">
        <v>252</v>
      </c>
      <c r="BD6" s="5"/>
      <c r="BE6" s="5"/>
      <c r="BF6" s="5"/>
      <c r="BG6" s="4" t="s">
        <v>253</v>
      </c>
      <c r="BH6" s="5"/>
      <c r="BI6" s="4" t="s">
        <v>254</v>
      </c>
      <c r="BJ6" s="5"/>
      <c r="BK6" s="5"/>
      <c r="BL6" s="5"/>
    </row>
    <row r="7" customFormat="false" ht="1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8" t="n">
        <f aca="false">IF(Inputs!$G$7="DM",Inputs!$G$9/10000,Inputs!$C$13)</f>
        <v>0.0026</v>
      </c>
      <c r="AP7" s="58" t="n">
        <f aca="false">AO7+0.0001</f>
        <v>0.0027</v>
      </c>
      <c r="AQ7" s="58" t="n">
        <f aca="false">AO9</f>
        <v>0.00591346289158159</v>
      </c>
      <c r="AR7" s="58" t="n">
        <f aca="false">AQ7+0.0001</f>
        <v>0.00601346289158159</v>
      </c>
      <c r="AS7" s="58" t="n">
        <f aca="false">AQ9</f>
        <v>0.00594981263810557</v>
      </c>
      <c r="AT7" s="58" t="n">
        <f aca="false">AS7+0.0001</f>
        <v>0.00604981263810557</v>
      </c>
      <c r="AU7" s="58" t="n">
        <f aca="false">AS9</f>
        <v>0.00594980487705333</v>
      </c>
      <c r="AV7" s="58" t="n">
        <f aca="false">AU7+0.0001</f>
        <v>0.00604980487705333</v>
      </c>
      <c r="AW7" s="58" t="n">
        <f aca="false">AU9</f>
        <v>0.00594980487965626</v>
      </c>
      <c r="AX7" s="58" t="n">
        <f aca="false">AW7+0.0001</f>
        <v>0.00604980487965626</v>
      </c>
      <c r="AY7" s="58" t="n">
        <f aca="false">AW9</f>
        <v>0.00594980487965544</v>
      </c>
      <c r="AZ7" s="58" t="n">
        <f aca="false">AY7+0.0001</f>
        <v>0.00604980487965544</v>
      </c>
      <c r="BA7" s="58" t="n">
        <f aca="false">AY9</f>
        <v>0.00594980487965544</v>
      </c>
      <c r="BB7" s="58" t="n">
        <f aca="false">BA7+0.0001</f>
        <v>0.00604980487965544</v>
      </c>
      <c r="BC7" s="58" t="n">
        <f aca="false">BA9</f>
        <v>0.00594980487965544</v>
      </c>
      <c r="BD7" s="58" t="n">
        <f aca="false">BC7+0.0001</f>
        <v>0.00604980487965544</v>
      </c>
      <c r="BE7" s="5"/>
      <c r="BF7" s="5"/>
      <c r="BG7" s="5" t="n">
        <f aca="false">IF(Inputs!$G$7="DM",Inputs!$G$9/10000,BC9)-0.001</f>
        <v>0.00494980487965544</v>
      </c>
      <c r="BH7" s="5"/>
      <c r="BI7" s="5" t="n">
        <f aca="false">IF(Inputs!$G$7="DM",Inputs!$G$9/10000,BC9)+0.001</f>
        <v>0.00694980487965544</v>
      </c>
      <c r="BJ7" s="5"/>
      <c r="BK7" s="5"/>
      <c r="BL7" s="5"/>
    </row>
    <row r="8" customFormat="false" ht="1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9" t="n">
        <f aca="false">SUMPRODUCT($AI$11:$AI$190,EXP(-AO11:AO190))</f>
        <v>111137897.661462</v>
      </c>
      <c r="AP8" s="59" t="n">
        <f aca="false">SUMPRODUCT($AI$11:$AI$190,EXP(-AP11:AP190))</f>
        <v>111087750.93765</v>
      </c>
      <c r="AQ8" s="59" t="n">
        <f aca="false">SUMPRODUCT($AI$11:$AI$190,EXP(-AQ11:AQ190))</f>
        <v>109494131.311708</v>
      </c>
      <c r="AR8" s="59" t="n">
        <f aca="false">SUMPRODUCT($AI$11:$AI$190,EXP(-AR11:AR190))</f>
        <v>109445089.057462</v>
      </c>
      <c r="AS8" s="59" t="n">
        <f aca="false">SUMPRODUCT($AI$11:$AI$190,EXP(-AS11:AS190))</f>
        <v>109476300.771333</v>
      </c>
      <c r="AT8" s="59" t="n">
        <f aca="false">SUMPRODUCT($AI$11:$AI$190,EXP(-AT11:AT190))</f>
        <v>109427270.471714</v>
      </c>
      <c r="AU8" s="59" t="n">
        <f aca="false">SUMPRODUCT($AI$11:$AI$190,EXP(-AU11:AU190))</f>
        <v>109476304.577876</v>
      </c>
      <c r="AV8" s="59" t="n">
        <f aca="false">SUMPRODUCT($AI$11:$AI$190,EXP(-AV11:AV190))</f>
        <v>109427274.275706</v>
      </c>
      <c r="AW8" s="59" t="n">
        <f aca="false">SUMPRODUCT($AI$11:$AI$190,EXP(-AW11:AW190))</f>
        <v>109476304.5766</v>
      </c>
      <c r="AX8" s="59" t="n">
        <f aca="false">SUMPRODUCT($AI$11:$AI$190,EXP(-AX11:AX190))</f>
        <v>109427274.27443</v>
      </c>
      <c r="AY8" s="59" t="n">
        <f aca="false">SUMPRODUCT($AI$11:$AI$190,EXP(-AY11:AY190))</f>
        <v>109476304.5766</v>
      </c>
      <c r="AZ8" s="59" t="n">
        <f aca="false">SUMPRODUCT($AI$11:$AI$190,EXP(-AZ11:AZ190))</f>
        <v>109427274.27443</v>
      </c>
      <c r="BA8" s="59" t="n">
        <f aca="false">SUMPRODUCT($AI$11:$AI$190,EXP(-BA11:BA190))</f>
        <v>109476304.5766</v>
      </c>
      <c r="BB8" s="59" t="n">
        <f aca="false">SUMPRODUCT($AI$11:$AI$190,EXP(-BB11:BB190))</f>
        <v>109427274.27443</v>
      </c>
      <c r="BC8" s="59" t="n">
        <f aca="false">SUMPRODUCT($AI$11:$AI$190,EXP(-BC11:BC190))</f>
        <v>109476304.5766</v>
      </c>
      <c r="BD8" s="59" t="n">
        <f aca="false">SUMPRODUCT($AI$11:$AI$190,EXP(-BD11:BD190))</f>
        <v>109427274.27443</v>
      </c>
      <c r="BE8" s="5"/>
      <c r="BF8" s="5"/>
      <c r="BG8" s="59" t="n">
        <f aca="false">SUMPRODUCT($AI$11:$AI$190,EXP(-BG11:BG190))</f>
        <v>109968421.23897</v>
      </c>
      <c r="BH8" s="5"/>
      <c r="BI8" s="59" t="n">
        <f aca="false">SUMPRODUCT($AI$11:$AI$190,EXP(-BI11:BI190))</f>
        <v>108987477.550179</v>
      </c>
      <c r="BJ8" s="5"/>
      <c r="BK8" s="5"/>
      <c r="BL8" s="5"/>
    </row>
    <row r="9" customFormat="false" ht="30" hidden="false" customHeight="true" outlineLevel="0" collapsed="false">
      <c r="A9" s="40" t="s">
        <v>239</v>
      </c>
      <c r="B9" s="40" t="s">
        <v>255</v>
      </c>
      <c r="C9" s="40" t="s">
        <v>256</v>
      </c>
      <c r="D9" s="40" t="s">
        <v>257</v>
      </c>
      <c r="E9" s="40" t="s">
        <v>258</v>
      </c>
      <c r="F9" s="40" t="s">
        <v>259</v>
      </c>
      <c r="G9" s="40" t="s">
        <v>260</v>
      </c>
      <c r="H9" s="40" t="s">
        <v>261</v>
      </c>
      <c r="I9" s="40" t="s">
        <v>262</v>
      </c>
      <c r="J9" s="40" t="s">
        <v>263</v>
      </c>
      <c r="K9" s="40" t="s">
        <v>264</v>
      </c>
      <c r="L9" s="40" t="s">
        <v>265</v>
      </c>
      <c r="M9" s="40" t="s">
        <v>266</v>
      </c>
      <c r="N9" s="40" t="s">
        <v>267</v>
      </c>
      <c r="O9" s="40" t="s">
        <v>268</v>
      </c>
      <c r="P9" s="40" t="s">
        <v>269</v>
      </c>
      <c r="Q9" s="40" t="s">
        <v>270</v>
      </c>
      <c r="R9" s="40" t="s">
        <v>271</v>
      </c>
      <c r="S9" s="40" t="s">
        <v>272</v>
      </c>
      <c r="T9" s="40" t="s">
        <v>273</v>
      </c>
      <c r="U9" s="40" t="s">
        <v>274</v>
      </c>
      <c r="V9" s="40" t="s">
        <v>275</v>
      </c>
      <c r="W9" s="40" t="s">
        <v>276</v>
      </c>
      <c r="X9" s="40" t="s">
        <v>277</v>
      </c>
      <c r="Y9" s="40" t="s">
        <v>278</v>
      </c>
      <c r="Z9" s="40" t="s">
        <v>279</v>
      </c>
      <c r="AA9" s="40" t="s">
        <v>280</v>
      </c>
      <c r="AB9" s="40" t="s">
        <v>281</v>
      </c>
      <c r="AC9" s="40" t="s">
        <v>282</v>
      </c>
      <c r="AD9" s="40" t="s">
        <v>283</v>
      </c>
      <c r="AE9" s="40" t="s">
        <v>284</v>
      </c>
      <c r="AF9" s="40" t="s">
        <v>285</v>
      </c>
      <c r="AG9" s="40" t="s">
        <v>286</v>
      </c>
      <c r="AH9" s="40" t="s">
        <v>287</v>
      </c>
      <c r="AI9" s="40" t="s">
        <v>288</v>
      </c>
      <c r="AJ9" s="40" t="s">
        <v>289</v>
      </c>
      <c r="AK9" s="40" t="s">
        <v>290</v>
      </c>
      <c r="AL9" s="5"/>
      <c r="AM9" s="60" t="s">
        <v>291</v>
      </c>
      <c r="AN9" s="5"/>
      <c r="AO9" s="58" t="n">
        <f aca="false">IFERROR(AO7-(AO8-Inputs!$G$27)*0.0001/(AP8-AO8),AO7)</f>
        <v>0.00591346289158159</v>
      </c>
      <c r="AP9" s="5"/>
      <c r="AQ9" s="58" t="n">
        <f aca="false">IFERROR(AQ7-(AQ8-Inputs!$G$27)*0.0001/(AR8-AQ8),AQ7)</f>
        <v>0.00594981263810557</v>
      </c>
      <c r="AR9" s="5"/>
      <c r="AS9" s="58" t="n">
        <f aca="false">IFERROR(AS7-(AS8-Inputs!$G$27)*0.0001/(AT8-AS8),AS7)</f>
        <v>0.00594980487705333</v>
      </c>
      <c r="AT9" s="5"/>
      <c r="AU9" s="58" t="n">
        <f aca="false">IFERROR(AU7-(AU8-Inputs!$G$27)*0.0001/(AV8-AU8),AU7)</f>
        <v>0.00594980487965626</v>
      </c>
      <c r="AV9" s="5"/>
      <c r="AW9" s="58" t="n">
        <f aca="false">IFERROR(AW7-(AW8-Inputs!$G$27)*0.0001/(AX8-AW8),AW7)</f>
        <v>0.00594980487965544</v>
      </c>
      <c r="AX9" s="5"/>
      <c r="AY9" s="58" t="n">
        <f aca="false">IFERROR(AY7-(AY8-Inputs!$G$27)*0.0001/(AZ8-AY8),AY7)</f>
        <v>0.00594980487965544</v>
      </c>
      <c r="AZ9" s="5"/>
      <c r="BA9" s="58" t="n">
        <f aca="false">IFERROR(BA7-(BA8-Inputs!$G$27)*0.0001/(BB8-BA8),BA7)</f>
        <v>0.00594980487965544</v>
      </c>
      <c r="BB9" s="5"/>
      <c r="BC9" s="58" t="n">
        <f aca="false">IFERROR(BC7-(BC8-Inputs!$G$27)*0.0001/(BD8-BC8),BC7)</f>
        <v>0.00594980487965544</v>
      </c>
      <c r="BD9" s="5"/>
      <c r="BE9" s="5" t="s">
        <v>292</v>
      </c>
      <c r="BF9" s="5" t="s">
        <v>293</v>
      </c>
      <c r="BG9" s="5"/>
      <c r="BH9" s="5"/>
      <c r="BI9" s="5"/>
      <c r="BJ9" s="5"/>
      <c r="BK9" s="60" t="s">
        <v>294</v>
      </c>
      <c r="BL9" s="60" t="s">
        <v>295</v>
      </c>
    </row>
    <row r="10" customFormat="false" ht="15" hidden="false" customHeight="true" outlineLevel="0" collapsed="false">
      <c r="A10" s="5"/>
      <c r="B10" s="5"/>
      <c r="C10" s="10" t="n">
        <f aca="false">Inputs!$C$7</f>
        <v>46251</v>
      </c>
      <c r="D10" s="61" t="b">
        <f aca="false">TRUE()</f>
        <v>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3" t="n">
        <v>0</v>
      </c>
      <c r="X10" s="5"/>
      <c r="Y10" s="5"/>
      <c r="Z10" s="5"/>
      <c r="AA10" s="61" t="b">
        <f aca="false">FALSE()</f>
        <v>0</v>
      </c>
      <c r="AB10" s="5"/>
      <c r="AC10" s="5"/>
      <c r="AD10" s="5"/>
      <c r="AE10" s="5"/>
      <c r="AF10" s="14" t="n">
        <f aca="false">Inputs!$C$16</f>
        <v>119356379.69</v>
      </c>
      <c r="AG10" s="14" t="n">
        <f aca="false">Inputs!$C$11</f>
        <v>110845068.75</v>
      </c>
      <c r="AH10" s="14" t="n">
        <f aca="false">Inputs!$C$12</f>
        <v>8507872.5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 t="n">
        <v>0</v>
      </c>
      <c r="BG10" s="5"/>
      <c r="BH10" s="5"/>
      <c r="BI10" s="5"/>
      <c r="BJ10" s="5"/>
      <c r="BK10" s="62" t="n">
        <f aca="false">Inputs!$G$6</f>
        <v>46289</v>
      </c>
      <c r="BL10" s="59" t="n">
        <f aca="false">-Inputs!$K$8/100*Inputs!$C$11</f>
        <v>-109476304.5766</v>
      </c>
    </row>
    <row r="11" customFormat="false" ht="15" hidden="false" customHeight="true" outlineLevel="0" collapsed="false">
      <c r="A11" s="3" t="n">
        <v>1</v>
      </c>
      <c r="B11" s="38" t="n">
        <f aca="false">EDATE(Inputs!$C$8,3*(A11-1))</f>
        <v>46341</v>
      </c>
      <c r="C11" s="38" t="n">
        <f aca="false">WORKDAY(B11-1,1)</f>
        <v>46342</v>
      </c>
      <c r="D11" s="61" t="b">
        <f aca="false">C11&lt;=Inputs!$C$9</f>
        <v>1</v>
      </c>
      <c r="E11" s="61" t="b">
        <f aca="false">AND(D11,NOT(D12))</f>
        <v>0</v>
      </c>
      <c r="F11" s="63" t="n">
        <f aca="false">(C11-C10)/360</f>
        <v>0.252777777777778</v>
      </c>
      <c r="G11" s="57" t="n">
        <f aca="false">Inputs!$C$15</f>
        <v>0.02252</v>
      </c>
      <c r="H11" s="64" t="n">
        <f aca="false">AF10</f>
        <v>119356379.69</v>
      </c>
      <c r="I11" s="64" t="n">
        <f aca="false">IF(D11,H11*Inputs!$G$22,0)</f>
        <v>29850.2911148823</v>
      </c>
      <c r="J11" s="32" t="n">
        <f aca="false">MAX(Inputs!$G$24-(A11-1),1)</f>
        <v>45.5917704676111</v>
      </c>
      <c r="K11" s="64" t="n">
        <f aca="false">IF(D11,MIN(H11-I11,IF(J11&gt;1,(H11-I11)*Inputs!$G$23/((1+Inputs!$G$23)^J11-1),H11-I11)),0)</f>
        <v>2182595.98121389</v>
      </c>
      <c r="L11" s="64" t="n">
        <f aca="false">IF(D11,(H11-I11-K11)*Inputs!$G$21,0)</f>
        <v>1261972.15677261</v>
      </c>
      <c r="M11" s="64" t="n">
        <f aca="false">IF(A11&gt;Inputs!$G$13,(1-Inputs!$G$12)*INDEX($I$11:$I$190,A11-Inputs!$G$13),0)</f>
        <v>0</v>
      </c>
      <c r="N11" s="64" t="n">
        <f aca="false">IF(D11,(H11-I11)*Inputs!$G$23,0)</f>
        <v>946856.010780153</v>
      </c>
      <c r="O11" s="64" t="n">
        <f aca="false">AG10</f>
        <v>110845068.75</v>
      </c>
      <c r="P11" s="64" t="n">
        <f aca="false">AH10</f>
        <v>8507872.5</v>
      </c>
      <c r="Q11" s="64" t="n">
        <f aca="false">IF(AND(D11,O11+P11&gt;0),Inputs!$C$25+Inputs!$C$26*H11/4,0)</f>
        <v>129839.0949225</v>
      </c>
      <c r="R11" s="64" t="n">
        <f aca="false">O11*IF(Inputs!$G$19="",G11+Inputs!$C$13,MAX(Inputs!$G$19,G11+Inputs!$C$13))*F11</f>
        <v>703841.554325</v>
      </c>
      <c r="S11" s="64" t="n">
        <f aca="false">P11*(G11+Inputs!$C$14)*F11</f>
        <v>63620.390925</v>
      </c>
      <c r="T11" s="64" t="n">
        <f aca="false">N11+M11-Q11-R11-S11</f>
        <v>49554.9706076536</v>
      </c>
      <c r="U11" s="64" t="n">
        <f aca="false">W10</f>
        <v>0</v>
      </c>
      <c r="V11" s="64" t="n">
        <f aca="false">MIN(U11+I11,MAX(T11,0))</f>
        <v>29850.2911148823</v>
      </c>
      <c r="W11" s="64" t="n">
        <f aca="false">U11+I11-V11</f>
        <v>0</v>
      </c>
      <c r="X11" s="64" t="n">
        <f aca="false">K11+L11+V11+IF(E11,H11-I11-K11-L11,0)</f>
        <v>3474418.42910138</v>
      </c>
      <c r="Y11" s="61" t="b">
        <f aca="false">AND(Inputs!$C$21=1,O11/Inputs!$C$10&lt;=Inputs!$C$22,Inputs!$G$14&lt;Inputs!$C$23,W11&lt;1)</f>
        <v>1</v>
      </c>
      <c r="Z11" s="61" t="b">
        <f aca="false">OR(AND(Inputs!$G$15=1,H11/Inputs!$C$17&lt;=Inputs!$C$24),AND(Inputs!$G$15=2,C11&gt;=Inputs!$G$16))</f>
        <v>0</v>
      </c>
      <c r="AA11" s="61" t="b">
        <f aca="false">OR(AA10,Z11)</f>
        <v>0</v>
      </c>
      <c r="AB11" s="61" t="b">
        <f aca="false">AND(Z11,NOT(AA10),D11,O11&gt;0)</f>
        <v>0</v>
      </c>
      <c r="AC11" s="63" t="n">
        <f aca="false">IF(AND(Y11,NOT(E11),O11+P11&gt;0),O11/(O11+P11),1)</f>
        <v>0.928716691763974</v>
      </c>
      <c r="AD11" s="64" t="n">
        <f aca="false">IF(AB11,O11,IF(D11,MIN(O11,IF(E11,AC11*X11+BF10,BE11*Inputs!$G$20)),0))</f>
        <v>3226750.38927882</v>
      </c>
      <c r="AE11" s="64" t="n">
        <f aca="false">IF(AB11,P11,IF(D11,MAX(MIN(P11,X11-MIN(O11,AC11*X11)),0),0))</f>
        <v>247668.039822562</v>
      </c>
      <c r="AF11" s="64" t="n">
        <f aca="false">IF(OR(AB11,E11),0,MAX(H11-I11-K11-L11,0))</f>
        <v>115881961.260899</v>
      </c>
      <c r="AG11" s="64" t="n">
        <f aca="false">IF(E11,0,O11-AD11)</f>
        <v>107618318.360721</v>
      </c>
      <c r="AH11" s="64" t="n">
        <f aca="false">IF(OR(AB11,E11),0,P11-AE11)</f>
        <v>8260204.46017744</v>
      </c>
      <c r="AI11" s="64" t="n">
        <f aca="false">IF(D11,R11+AD11,0)</f>
        <v>3930591.94360382</v>
      </c>
      <c r="AJ11" s="65" t="n">
        <f aca="false">(C11-Inputs!$G$6)/365</f>
        <v>0.145205479452055</v>
      </c>
      <c r="AK11" s="29" t="n">
        <f aca="false">AG11/Inputs!$C$10</f>
        <v>0.0761225947732776</v>
      </c>
      <c r="AL11" s="5"/>
      <c r="AM11" s="66" t="n">
        <f aca="false">(C11-Inputs!$G$6)/360</f>
        <v>0.147222222222222</v>
      </c>
      <c r="AN11" s="5"/>
      <c r="AO11" s="5" t="n">
        <f aca="false">0+LN(1+($G11+AO$7)*$AM11)</f>
        <v>0.00369140061180083</v>
      </c>
      <c r="AP11" s="5" t="n">
        <f aca="false">0+LN(1+($G11+AP$7)*$AM11)</f>
        <v>0.00370606848101162</v>
      </c>
      <c r="AQ11" s="5" t="n">
        <f aca="false">0+LN(1+($G11+AQ$7)*$AM11)</f>
        <v>0.00417730051102339</v>
      </c>
      <c r="AR11" s="5" t="n">
        <f aca="false">0+LN(1+($G11+AR$7)*$AM11)</f>
        <v>0.00419196125490149</v>
      </c>
      <c r="AS11" s="5" t="n">
        <f aca="false">0+LN(1+($G11+AS$7)*$AM11)</f>
        <v>0.00418262967912644</v>
      </c>
      <c r="AT11" s="5" t="n">
        <f aca="false">0+LN(1+($G11+AT$7)*$AM11)</f>
        <v>0.00419729034487575</v>
      </c>
      <c r="AU11" s="5" t="n">
        <f aca="false">0+LN(1+($G11+AU$7)*$AM11)</f>
        <v>0.00418262854129618</v>
      </c>
      <c r="AV11" s="5" t="n">
        <f aca="false">0+LN(1+($G11+AV$7)*$AM11)</f>
        <v>0.00419728920706217</v>
      </c>
      <c r="AW11" s="5" t="n">
        <f aca="false">0+LN(1+($G11+AW$7)*$AM11)</f>
        <v>0.00418262854167783</v>
      </c>
      <c r="AX11" s="5" t="n">
        <f aca="false">0+LN(1+($G11+AX$7)*$AM11)</f>
        <v>0.00419728920744382</v>
      </c>
      <c r="AY11" s="5" t="n">
        <f aca="false">0+LN(1+($G11+AY$7)*$AM11)</f>
        <v>0.00418262854167761</v>
      </c>
      <c r="AZ11" s="5" t="n">
        <f aca="false">0+LN(1+($G11+AZ$7)*$AM11)</f>
        <v>0.0041972892074436</v>
      </c>
      <c r="BA11" s="5" t="n">
        <f aca="false">0+LN(1+($G11+BA$7)*$AM11)</f>
        <v>0.00418262854167761</v>
      </c>
      <c r="BB11" s="5" t="n">
        <f aca="false">0+LN(1+($G11+BB$7)*$AM11)</f>
        <v>0.0041972892074436</v>
      </c>
      <c r="BC11" s="5" t="n">
        <f aca="false">0+LN(1+($G11+BC$7)*$AM11)</f>
        <v>0.00418262854167761</v>
      </c>
      <c r="BD11" s="5" t="n">
        <f aca="false">0+LN(1+($G11+BD$7)*$AM11)</f>
        <v>0.0041972892074436</v>
      </c>
      <c r="BE11" s="5" t="n">
        <f aca="false">IF(AB11,O11,IF(D11,MIN(O11,AC11*X11+BF10),0))</f>
        <v>3226750.38927882</v>
      </c>
      <c r="BF11" s="5" t="n">
        <f aca="false">IF(OR(AB11,E11),0,BE11-AD11)</f>
        <v>0</v>
      </c>
      <c r="BG11" s="5" t="n">
        <f aca="false">0+LN(1+($G11+BG$7)*$AM11)</f>
        <v>0.00403601006137255</v>
      </c>
      <c r="BH11" s="5"/>
      <c r="BI11" s="5" t="n">
        <f aca="false">0+LN(1+($G11+BI$7)*$AM11)</f>
        <v>0.00432922552815525</v>
      </c>
      <c r="BJ11" s="5"/>
      <c r="BK11" s="62" t="n">
        <f aca="false">C11</f>
        <v>46342</v>
      </c>
      <c r="BL11" s="67" t="n">
        <f aca="false">AI11</f>
        <v>3930591.94360382</v>
      </c>
    </row>
    <row r="12" customFormat="false" ht="15" hidden="false" customHeight="true" outlineLevel="0" collapsed="false">
      <c r="A12" s="3" t="n">
        <v>2</v>
      </c>
      <c r="B12" s="38" t="n">
        <f aca="false">EDATE(Inputs!$C$8,3*(A12-1))</f>
        <v>46433</v>
      </c>
      <c r="C12" s="38" t="n">
        <f aca="false">WORKDAY(B12-1,1)</f>
        <v>46433</v>
      </c>
      <c r="D12" s="61" t="b">
        <f aca="false">C12&lt;=Inputs!$C$9</f>
        <v>1</v>
      </c>
      <c r="E12" s="61" t="b">
        <f aca="false">AND(D12,NOT(D13))</f>
        <v>0</v>
      </c>
      <c r="F12" s="63" t="n">
        <f aca="false">(C12-C11)/360</f>
        <v>0.252777777777778</v>
      </c>
      <c r="G12" s="57" t="n">
        <f aca="false">Curve!D5</f>
        <v>0.02252</v>
      </c>
      <c r="H12" s="64" t="n">
        <f aca="false">AF11</f>
        <v>115881961.260899</v>
      </c>
      <c r="I12" s="64" t="n">
        <f aca="false">IF(D12,H12*Inputs!$G$22,0)</f>
        <v>28981.3605907414</v>
      </c>
      <c r="J12" s="32" t="n">
        <f aca="false">MAX(Inputs!$G$24-(A12-1),1)</f>
        <v>44.5917704676111</v>
      </c>
      <c r="K12" s="64" t="n">
        <f aca="false">IF(D12,MIN(H12-I12,IF(J12&gt;1,(H12-I12)*Inputs!$G$23/((1+Inputs!$G$23)^J12-1),H12-I12)),0)</f>
        <v>2175671.30432564</v>
      </c>
      <c r="L12" s="64" t="n">
        <f aca="false">IF(D12,(H12-I12-K12)*Inputs!$G$21,0)</f>
        <v>1224626.7827928</v>
      </c>
      <c r="M12" s="64" t="n">
        <f aca="false">IF(A12&gt;Inputs!$G$13,(1-Inputs!$G$12)*INDEX($I$11:$I$190,A12-Inputs!$G$13),0)</f>
        <v>0</v>
      </c>
      <c r="N12" s="64" t="n">
        <f aca="false">IF(D12,(H12-I12)*Inputs!$G$23,0)</f>
        <v>919293.395508943</v>
      </c>
      <c r="O12" s="64" t="n">
        <f aca="false">AG11</f>
        <v>107618318.360721</v>
      </c>
      <c r="P12" s="64" t="n">
        <f aca="false">AH11</f>
        <v>8260204.46017744</v>
      </c>
      <c r="Q12" s="64" t="n">
        <f aca="false">IF(AND(D12,O12+P12&gt;0),Inputs!$C$25+Inputs!$C$26*H12/4,0)</f>
        <v>128970.490315225</v>
      </c>
      <c r="R12" s="64" t="n">
        <f aca="false">O12*IF(Inputs!$G$19="",G12+Inputs!$C$13,MAX(Inputs!$G$19,G12+Inputs!$C$13))*F12</f>
        <v>683352.406408722</v>
      </c>
      <c r="S12" s="64" t="n">
        <f aca="false">P12*(G12+Inputs!$C$14)*F12</f>
        <v>61768.3723959095</v>
      </c>
      <c r="T12" s="64" t="n">
        <f aca="false">N12+M12-Q12-R12-S12</f>
        <v>45202.1263890872</v>
      </c>
      <c r="U12" s="64" t="n">
        <f aca="false">W11</f>
        <v>0</v>
      </c>
      <c r="V12" s="64" t="n">
        <f aca="false">MIN(U12+I12,MAX(T12,0))</f>
        <v>28981.3605907414</v>
      </c>
      <c r="W12" s="64" t="n">
        <f aca="false">U12+I12-V12</f>
        <v>0</v>
      </c>
      <c r="X12" s="64" t="n">
        <f aca="false">K12+L12+V12+IF(E12,H12-I12-K12-L12,0)</f>
        <v>3429279.44770918</v>
      </c>
      <c r="Y12" s="61" t="b">
        <f aca="false">AND(Inputs!$C$21=1,O12/Inputs!$C$10&lt;=Inputs!$C$22,Inputs!$G$14&lt;Inputs!$C$23,W12&lt;1)</f>
        <v>1</v>
      </c>
      <c r="Z12" s="61" t="b">
        <f aca="false">OR(AND(Inputs!$G$15=1,H12/Inputs!$C$17&lt;=Inputs!$C$24),AND(Inputs!$G$15=2,C12&gt;=Inputs!$G$16))</f>
        <v>0</v>
      </c>
      <c r="AA12" s="61" t="b">
        <f aca="false">OR(AA11,Z12)</f>
        <v>0</v>
      </c>
      <c r="AB12" s="61" t="b">
        <f aca="false">AND(Z12,NOT(AA11),D12,O12&gt;0)</f>
        <v>0</v>
      </c>
      <c r="AC12" s="63" t="n">
        <f aca="false">IF(AND(Y12,NOT(E12),O12+P12&gt;0),O12/(O12+P12),1)</f>
        <v>0.928716691763974</v>
      </c>
      <c r="AD12" s="64" t="n">
        <f aca="false">IF(AB12,O12,IF(D12,MIN(O12,IF(E12,AC12*X12+BF11,BE12*Inputs!$G$20)),0))</f>
        <v>3184829.06381066</v>
      </c>
      <c r="AE12" s="64" t="n">
        <f aca="false">IF(AB12,P12,IF(D12,MAX(MIN(P12,X12-MIN(O12,AC12*X12)),0),0))</f>
        <v>244450.383898521</v>
      </c>
      <c r="AF12" s="64" t="n">
        <f aca="false">IF(OR(AB12,E12),0,MAX(H12-I12-K12-L12,0))</f>
        <v>112452681.813189</v>
      </c>
      <c r="AG12" s="64" t="n">
        <f aca="false">IF(E12,0,O12-AD12)</f>
        <v>104433489.296911</v>
      </c>
      <c r="AH12" s="64" t="n">
        <f aca="false">IF(OR(AB12,E12),0,P12-AE12)</f>
        <v>8015754.07627892</v>
      </c>
      <c r="AI12" s="64" t="n">
        <f aca="false">IF(D12,R12+AD12,0)</f>
        <v>3868181.47021938</v>
      </c>
      <c r="AJ12" s="65" t="n">
        <f aca="false">(C12-Inputs!$G$6)/365</f>
        <v>0.394520547945205</v>
      </c>
      <c r="AK12" s="29" t="n">
        <f aca="false">AG12/Inputs!$C$10</f>
        <v>0.0738698421198306</v>
      </c>
      <c r="AL12" s="5"/>
      <c r="AM12" s="66" t="n">
        <f aca="false">F12</f>
        <v>0.252777777777778</v>
      </c>
      <c r="AN12" s="5"/>
      <c r="AO12" s="5" t="n">
        <f aca="false">AO11+LN(1+($G12+AO$7)*$AM12)</f>
        <v>0.0100211034866309</v>
      </c>
      <c r="AP12" s="5" t="n">
        <f aca="false">AP11+LN(1+($G12+AP$7)*$AM12)</f>
        <v>0.0100608893226502</v>
      </c>
      <c r="AQ12" s="5" t="n">
        <f aca="false">AQ11+LN(1+($G12+AQ$7)*$AM12)</f>
        <v>0.0113389421907061</v>
      </c>
      <c r="AR12" s="5" t="n">
        <f aca="false">AR11+LN(1+($G12+AR$7)*$AM12)</f>
        <v>0.0113787000137332</v>
      </c>
      <c r="AS12" s="5" t="n">
        <f aca="false">AS11+LN(1+($G12+AS$7)*$AM12)</f>
        <v>0.0113533941563297</v>
      </c>
      <c r="AT12" s="5" t="n">
        <f aca="false">AT11+LN(1+($G12+AT$7)*$AM12)</f>
        <v>0.0113931516722766</v>
      </c>
      <c r="AU12" s="5" t="n">
        <f aca="false">AU11+LN(1+($G12+AU$7)*$AM12)</f>
        <v>0.0113533910706952</v>
      </c>
      <c r="AV12" s="5" t="n">
        <f aca="false">AV11+LN(1+($G12+AV$7)*$AM12)</f>
        <v>0.0113931485867077</v>
      </c>
      <c r="AW12" s="5" t="n">
        <f aca="false">AW11+LN(1+($G12+AW$7)*$AM12)</f>
        <v>0.0113533910717303</v>
      </c>
      <c r="AX12" s="5" t="n">
        <f aca="false">AX11+LN(1+($G12+AX$7)*$AM12)</f>
        <v>0.0113931485877426</v>
      </c>
      <c r="AY12" s="5" t="n">
        <f aca="false">AY11+LN(1+($G12+AY$7)*$AM12)</f>
        <v>0.0113533910717299</v>
      </c>
      <c r="AZ12" s="5" t="n">
        <f aca="false">AZ11+LN(1+($G12+AZ$7)*$AM12)</f>
        <v>0.0113931485877421</v>
      </c>
      <c r="BA12" s="5" t="n">
        <f aca="false">BA11+LN(1+($G12+BA$7)*$AM12)</f>
        <v>0.0113533910717299</v>
      </c>
      <c r="BB12" s="5" t="n">
        <f aca="false">BB11+LN(1+($G12+BB$7)*$AM12)</f>
        <v>0.0113931485877421</v>
      </c>
      <c r="BC12" s="5" t="n">
        <f aca="false">BC11+LN(1+($G12+BC$7)*$AM12)</f>
        <v>0.0113533910717299</v>
      </c>
      <c r="BD12" s="5" t="n">
        <f aca="false">BD11+LN(1+($G12+BD$7)*$AM12)</f>
        <v>0.0113931485877421</v>
      </c>
      <c r="BE12" s="5" t="n">
        <f aca="false">IF(AB12,O12,IF(D12,MIN(O12,AC12*X12+BF11),0))</f>
        <v>3184829.06381066</v>
      </c>
      <c r="BF12" s="5" t="n">
        <f aca="false">IF(OR(AB12,E12),0,BE12-AD12)</f>
        <v>0</v>
      </c>
      <c r="BG12" s="5" t="n">
        <f aca="false">BG11+LN(1+($G12+BG$7)*$AM12)</f>
        <v>0.0109557694410194</v>
      </c>
      <c r="BH12" s="5"/>
      <c r="BI12" s="5" t="n">
        <f aca="false">BI11+LN(1+($G12+BI$7)*$AM12)</f>
        <v>0.0117509282218408</v>
      </c>
      <c r="BJ12" s="5"/>
      <c r="BK12" s="62" t="n">
        <f aca="false">C12</f>
        <v>46433</v>
      </c>
      <c r="BL12" s="67" t="n">
        <f aca="false">AI12</f>
        <v>3868181.47021938</v>
      </c>
    </row>
    <row r="13" customFormat="false" ht="15" hidden="false" customHeight="true" outlineLevel="0" collapsed="false">
      <c r="A13" s="3" t="n">
        <v>3</v>
      </c>
      <c r="B13" s="38" t="n">
        <f aca="false">EDATE(Inputs!$C$8,3*(A13-1))</f>
        <v>46522</v>
      </c>
      <c r="C13" s="38" t="n">
        <f aca="false">WORKDAY(B13-1,1)</f>
        <v>46524</v>
      </c>
      <c r="D13" s="61" t="b">
        <f aca="false">C13&lt;=Inputs!$C$9</f>
        <v>1</v>
      </c>
      <c r="E13" s="61" t="b">
        <f aca="false">AND(D13,NOT(D14))</f>
        <v>0</v>
      </c>
      <c r="F13" s="63" t="n">
        <f aca="false">(C13-C12)/360</f>
        <v>0.252777777777778</v>
      </c>
      <c r="G13" s="57" t="n">
        <f aca="false">Curve!D6</f>
        <v>0.02252</v>
      </c>
      <c r="H13" s="64" t="n">
        <f aca="false">AF12</f>
        <v>112452681.813189</v>
      </c>
      <c r="I13" s="64" t="n">
        <f aca="false">IF(D13,H13*Inputs!$G$22,0)</f>
        <v>28123.7190461984</v>
      </c>
      <c r="J13" s="32" t="n">
        <f aca="false">MAX(Inputs!$G$24-(A13-1),1)</f>
        <v>43.5917704676111</v>
      </c>
      <c r="K13" s="64" t="n">
        <f aca="false">IF(D13,MIN(H13-I13,IF(J13&gt;1,(H13-I13)*Inputs!$G$23/((1+Inputs!$G$23)^J13-1),H13-I13)),0)</f>
        <v>2168768.59721576</v>
      </c>
      <c r="L13" s="64" t="n">
        <f aca="false">IF(D13,(H13-I13-K13)*Inputs!$G$21,0)</f>
        <v>1187767.32527845</v>
      </c>
      <c r="M13" s="64" t="n">
        <f aca="false">IF(A13&gt;Inputs!$G$13,(1-Inputs!$G$12)*INDEX($I$11:$I$190,A13-Inputs!$G$13),0)</f>
        <v>0</v>
      </c>
      <c r="N13" s="64" t="n">
        <f aca="false">IF(D13,(H13-I13)*Inputs!$G$23,0)</f>
        <v>892088.868477026</v>
      </c>
      <c r="O13" s="64" t="n">
        <f aca="false">AG12</f>
        <v>104433489.296911</v>
      </c>
      <c r="P13" s="64" t="n">
        <f aca="false">AH12</f>
        <v>8015754.07627892</v>
      </c>
      <c r="Q13" s="64" t="n">
        <f aca="false">IF(AND(D13,O13+P13&gt;0),Inputs!$C$25+Inputs!$C$26*H13/4,0)</f>
        <v>128113.170453297</v>
      </c>
      <c r="R13" s="64" t="n">
        <f aca="false">O13*IF(Inputs!$G$19="",G13+Inputs!$C$13,MAX(Inputs!$G$19,G13+Inputs!$C$13))*F13</f>
        <v>663129.449593316</v>
      </c>
      <c r="S13" s="64" t="n">
        <f aca="false">P13*(G13+Inputs!$C$14)*F13</f>
        <v>59940.4149382266</v>
      </c>
      <c r="T13" s="64" t="n">
        <f aca="false">N13+M13-Q13-R13-S13</f>
        <v>40905.8334921868</v>
      </c>
      <c r="U13" s="64" t="n">
        <f aca="false">W12</f>
        <v>0</v>
      </c>
      <c r="V13" s="64" t="n">
        <f aca="false">MIN(U13+I13,MAX(T13,0))</f>
        <v>28123.7190461984</v>
      </c>
      <c r="W13" s="64" t="n">
        <f aca="false">U13+I13-V13</f>
        <v>0</v>
      </c>
      <c r="X13" s="64" t="n">
        <f aca="false">K13+L13+V13+IF(E13,H13-I13-K13-L13,0)</f>
        <v>3384659.64154041</v>
      </c>
      <c r="Y13" s="61" t="b">
        <f aca="false">AND(Inputs!$C$21=1,O13/Inputs!$C$10&lt;=Inputs!$C$22,Inputs!$G$14&lt;Inputs!$C$23,W13&lt;1)</f>
        <v>1</v>
      </c>
      <c r="Z13" s="61" t="b">
        <f aca="false">OR(AND(Inputs!$G$15=1,H13/Inputs!$C$17&lt;=Inputs!$C$24),AND(Inputs!$G$15=2,C13&gt;=Inputs!$G$16))</f>
        <v>0</v>
      </c>
      <c r="AA13" s="61" t="b">
        <f aca="false">OR(AA12,Z13)</f>
        <v>0</v>
      </c>
      <c r="AB13" s="61" t="b">
        <f aca="false">AND(Z13,NOT(AA12),D13,O13&gt;0)</f>
        <v>0</v>
      </c>
      <c r="AC13" s="63" t="n">
        <f aca="false">IF(AND(Y13,NOT(E13),O13+P13&gt;0),O13/(O13+P13),1)</f>
        <v>0.928716691763974</v>
      </c>
      <c r="AD13" s="64" t="n">
        <f aca="false">IF(AB13,O13,IF(D13,MIN(O13,IF(E13,AC13*X13+BF12,BE13*Inputs!$G$20)),0))</f>
        <v>3143389.90503845</v>
      </c>
      <c r="AE13" s="64" t="n">
        <f aca="false">IF(AB13,P13,IF(D13,MAX(MIN(P13,X13-MIN(O13,AC13*X13)),0),0))</f>
        <v>241269.736501961</v>
      </c>
      <c r="AF13" s="64" t="n">
        <f aca="false">IF(OR(AB13,E13),0,MAX(H13-I13-K13-L13,0))</f>
        <v>109068022.171649</v>
      </c>
      <c r="AG13" s="64" t="n">
        <f aca="false">IF(E13,0,O13-AD13)</f>
        <v>101290099.391872</v>
      </c>
      <c r="AH13" s="64" t="n">
        <f aca="false">IF(OR(AB13,E13),0,P13-AE13)</f>
        <v>7774484.33977696</v>
      </c>
      <c r="AI13" s="64" t="n">
        <f aca="false">IF(D13,R13+AD13,0)</f>
        <v>3806519.35463177</v>
      </c>
      <c r="AJ13" s="65" t="n">
        <f aca="false">(C13-Inputs!$G$6)/365</f>
        <v>0.643835616438356</v>
      </c>
      <c r="AK13" s="29" t="n">
        <f aca="false">AG13/Inputs!$C$10</f>
        <v>0.0716464009845249</v>
      </c>
      <c r="AL13" s="5"/>
      <c r="AM13" s="66" t="n">
        <f aca="false">F13</f>
        <v>0.252777777777778</v>
      </c>
      <c r="AN13" s="5"/>
      <c r="AO13" s="5" t="n">
        <f aca="false">AO12+LN(1+($G13+AO$7)*$AM13)</f>
        <v>0.016350806361461</v>
      </c>
      <c r="AP13" s="5" t="n">
        <f aca="false">AP12+LN(1+($G13+AP$7)*$AM13)</f>
        <v>0.0164157101642888</v>
      </c>
      <c r="AQ13" s="5" t="n">
        <f aca="false">AQ12+LN(1+($G13+AQ$7)*$AM13)</f>
        <v>0.0185005838703888</v>
      </c>
      <c r="AR13" s="5" t="n">
        <f aca="false">AR12+LN(1+($G13+AR$7)*$AM13)</f>
        <v>0.018565438772565</v>
      </c>
      <c r="AS13" s="5" t="n">
        <f aca="false">AS12+LN(1+($G13+AS$7)*$AM13)</f>
        <v>0.0185241586335329</v>
      </c>
      <c r="AT13" s="5" t="n">
        <f aca="false">AT12+LN(1+($G13+AT$7)*$AM13)</f>
        <v>0.0185890129996774</v>
      </c>
      <c r="AU13" s="5" t="n">
        <f aca="false">AU12+LN(1+($G13+AU$7)*$AM13)</f>
        <v>0.0185241536000943</v>
      </c>
      <c r="AV13" s="5" t="n">
        <f aca="false">AV12+LN(1+($G13+AV$7)*$AM13)</f>
        <v>0.0185890079663533</v>
      </c>
      <c r="AW13" s="5" t="n">
        <f aca="false">AW12+LN(1+($G13+AW$7)*$AM13)</f>
        <v>0.0185241536017828</v>
      </c>
      <c r="AX13" s="5" t="n">
        <f aca="false">AX12+LN(1+($G13+AX$7)*$AM13)</f>
        <v>0.0185890079680414</v>
      </c>
      <c r="AY13" s="5" t="n">
        <f aca="false">AY12+LN(1+($G13+AY$7)*$AM13)</f>
        <v>0.0185241536017822</v>
      </c>
      <c r="AZ13" s="5" t="n">
        <f aca="false">AZ12+LN(1+($G13+AZ$7)*$AM13)</f>
        <v>0.0185890079680407</v>
      </c>
      <c r="BA13" s="5" t="n">
        <f aca="false">BA12+LN(1+($G13+BA$7)*$AM13)</f>
        <v>0.0185241536017822</v>
      </c>
      <c r="BB13" s="5" t="n">
        <f aca="false">BB12+LN(1+($G13+BB$7)*$AM13)</f>
        <v>0.0185890079680407</v>
      </c>
      <c r="BC13" s="5" t="n">
        <f aca="false">BC12+LN(1+($G13+BC$7)*$AM13)</f>
        <v>0.0185241536017822</v>
      </c>
      <c r="BD13" s="5" t="n">
        <f aca="false">BD12+LN(1+($G13+BD$7)*$AM13)</f>
        <v>0.0185890079680407</v>
      </c>
      <c r="BE13" s="5" t="n">
        <f aca="false">IF(AB13,O13,IF(D13,MIN(O13,AC13*X13+BF12),0))</f>
        <v>3143389.90503845</v>
      </c>
      <c r="BF13" s="5" t="n">
        <f aca="false">IF(OR(AB13,E13),0,BE13-AD13)</f>
        <v>0</v>
      </c>
      <c r="BG13" s="5" t="n">
        <f aca="false">BG12+LN(1+($G13+BG$7)*$AM13)</f>
        <v>0.0178755288206662</v>
      </c>
      <c r="BH13" s="5"/>
      <c r="BI13" s="5" t="n">
        <f aca="false">BI12+LN(1+($G13+BI$7)*$AM13)</f>
        <v>0.0191726309155264</v>
      </c>
      <c r="BJ13" s="5"/>
      <c r="BK13" s="62" t="n">
        <f aca="false">C13</f>
        <v>46524</v>
      </c>
      <c r="BL13" s="67" t="n">
        <f aca="false">AI13</f>
        <v>3806519.35463177</v>
      </c>
    </row>
    <row r="14" customFormat="false" ht="15" hidden="false" customHeight="true" outlineLevel="0" collapsed="false">
      <c r="A14" s="3" t="n">
        <v>4</v>
      </c>
      <c r="B14" s="38" t="n">
        <f aca="false">EDATE(Inputs!$C$8,3*(A14-1))</f>
        <v>46614</v>
      </c>
      <c r="C14" s="38" t="n">
        <f aca="false">WORKDAY(B14-1,1)</f>
        <v>46615</v>
      </c>
      <c r="D14" s="61" t="b">
        <f aca="false">C14&lt;=Inputs!$C$9</f>
        <v>1</v>
      </c>
      <c r="E14" s="61" t="b">
        <f aca="false">AND(D14,NOT(D15))</f>
        <v>0</v>
      </c>
      <c r="F14" s="63" t="n">
        <f aca="false">(C14-C13)/360</f>
        <v>0.252777777777778</v>
      </c>
      <c r="G14" s="57" t="n">
        <f aca="false">Curve!D7</f>
        <v>0.02252</v>
      </c>
      <c r="H14" s="64" t="n">
        <f aca="false">AF13</f>
        <v>109068022.171649</v>
      </c>
      <c r="I14" s="64" t="n">
        <f aca="false">IF(D14,H14*Inputs!$G$22,0)</f>
        <v>27277.2366387461</v>
      </c>
      <c r="J14" s="32" t="n">
        <f aca="false">MAX(Inputs!$G$24-(A14-1),1)</f>
        <v>42.5917704676111</v>
      </c>
      <c r="K14" s="64" t="n">
        <f aca="false">IF(D14,MIN(H14-I14,IF(J14&gt;1,(H14-I14)*Inputs!$G$23/((1+Inputs!$G$23)^J14-1),H14-I14)),0)</f>
        <v>2161887.79018121</v>
      </c>
      <c r="L14" s="64" t="n">
        <f aca="false">IF(D14,(H14-I14-K14)*Inputs!$G$21,0)</f>
        <v>1151388.19339069</v>
      </c>
      <c r="M14" s="64" t="n">
        <f aca="false">IF(A14&gt;Inputs!$G$13,(1-Inputs!$G$12)*INDEX($I$11:$I$190,A14-Inputs!$G$13),0)</f>
        <v>0</v>
      </c>
      <c r="N14" s="64" t="n">
        <f aca="false">IF(D14,(H14-I14)*Inputs!$G$23,0)</f>
        <v>865238.311059306</v>
      </c>
      <c r="O14" s="64" t="n">
        <f aca="false">AG13</f>
        <v>101290099.391872</v>
      </c>
      <c r="P14" s="64" t="n">
        <f aca="false">AH13</f>
        <v>7774484.33977696</v>
      </c>
      <c r="Q14" s="64" t="n">
        <f aca="false">IF(AND(D14,O14+P14&gt;0),Inputs!$C$25+Inputs!$C$26*H14/4,0)</f>
        <v>127267.005542912</v>
      </c>
      <c r="R14" s="64" t="n">
        <f aca="false">O14*IF(Inputs!$G$19="",G14+Inputs!$C$13,MAX(Inputs!$G$19,G14+Inputs!$C$13))*F14</f>
        <v>643169.622227412</v>
      </c>
      <c r="S14" s="64" t="n">
        <f aca="false">P14*(G14+Inputs!$C$14)*F14</f>
        <v>58136.2418086191</v>
      </c>
      <c r="T14" s="64" t="n">
        <f aca="false">N14+M14-Q14-R14-S14</f>
        <v>36665.4414803634</v>
      </c>
      <c r="U14" s="64" t="n">
        <f aca="false">W13</f>
        <v>0</v>
      </c>
      <c r="V14" s="64" t="n">
        <f aca="false">MIN(U14+I14,MAX(T14,0))</f>
        <v>27277.2366387461</v>
      </c>
      <c r="W14" s="64" t="n">
        <f aca="false">U14+I14-V14</f>
        <v>0</v>
      </c>
      <c r="X14" s="64" t="n">
        <f aca="false">K14+L14+V14+IF(E14,H14-I14-K14-L14,0)</f>
        <v>3340553.22021064</v>
      </c>
      <c r="Y14" s="61" t="b">
        <f aca="false">AND(Inputs!$C$21=1,O14/Inputs!$C$10&lt;=Inputs!$C$22,Inputs!$G$14&lt;Inputs!$C$23,W14&lt;1)</f>
        <v>1</v>
      </c>
      <c r="Z14" s="61" t="b">
        <f aca="false">OR(AND(Inputs!$G$15=1,H14/Inputs!$C$17&lt;=Inputs!$C$24),AND(Inputs!$G$15=2,C14&gt;=Inputs!$G$16))</f>
        <v>0</v>
      </c>
      <c r="AA14" s="61" t="b">
        <f aca="false">OR(AA13,Z14)</f>
        <v>0</v>
      </c>
      <c r="AB14" s="61" t="b">
        <f aca="false">AND(Z14,NOT(AA13),D14,O14&gt;0)</f>
        <v>0</v>
      </c>
      <c r="AC14" s="63" t="n">
        <f aca="false">IF(AND(Y14,NOT(E14),O14+P14&gt;0),O14/(O14+P14),1)</f>
        <v>0.928716691763974</v>
      </c>
      <c r="AD14" s="64" t="n">
        <f aca="false">IF(AB14,O14,IF(D14,MIN(O14,IF(E14,AC14*X14+BF13,BE14*Inputs!$G$20)),0))</f>
        <v>3102427.53533552</v>
      </c>
      <c r="AE14" s="64" t="n">
        <f aca="false">IF(AB14,P14,IF(D14,MAX(MIN(P14,X14-MIN(O14,AC14*X14)),0),0))</f>
        <v>238125.684875123</v>
      </c>
      <c r="AF14" s="64" t="n">
        <f aca="false">IF(OR(AB14,E14),0,MAX(H14-I14-K14-L14,0))</f>
        <v>105727468.951438</v>
      </c>
      <c r="AG14" s="64" t="n">
        <f aca="false">IF(E14,0,O14-AD14)</f>
        <v>98187671.8565366</v>
      </c>
      <c r="AH14" s="64" t="n">
        <f aca="false">IF(OR(AB14,E14),0,P14-AE14)</f>
        <v>7536358.65490183</v>
      </c>
      <c r="AI14" s="64" t="n">
        <f aca="false">IF(D14,R14+AD14,0)</f>
        <v>3745597.15756293</v>
      </c>
      <c r="AJ14" s="65" t="n">
        <f aca="false">(C14-Inputs!$G$6)/365</f>
        <v>0.893150684931507</v>
      </c>
      <c r="AK14" s="29" t="n">
        <f aca="false">AG14/Inputs!$C$10</f>
        <v>0.0694519341160294</v>
      </c>
      <c r="AL14" s="5"/>
      <c r="AM14" s="66" t="n">
        <f aca="false">F14</f>
        <v>0.252777777777778</v>
      </c>
      <c r="AN14" s="5"/>
      <c r="AO14" s="5" t="n">
        <f aca="false">AO13+LN(1+($G14+AO$7)*$AM14)</f>
        <v>0.0226805092362911</v>
      </c>
      <c r="AP14" s="5" t="n">
        <f aca="false">AP13+LN(1+($G14+AP$7)*$AM14)</f>
        <v>0.0227705310059274</v>
      </c>
      <c r="AQ14" s="5" t="n">
        <f aca="false">AQ13+LN(1+($G14+AQ$7)*$AM14)</f>
        <v>0.0256622255500714</v>
      </c>
      <c r="AR14" s="5" t="n">
        <f aca="false">AR13+LN(1+($G14+AR$7)*$AM14)</f>
        <v>0.0257521775313967</v>
      </c>
      <c r="AS14" s="5" t="n">
        <f aca="false">AS13+LN(1+($G14+AS$7)*$AM14)</f>
        <v>0.0256949231107361</v>
      </c>
      <c r="AT14" s="5" t="n">
        <f aca="false">AT13+LN(1+($G14+AT$7)*$AM14)</f>
        <v>0.0257848743270783</v>
      </c>
      <c r="AU14" s="5" t="n">
        <f aca="false">AU13+LN(1+($G14+AU$7)*$AM14)</f>
        <v>0.0256949161294934</v>
      </c>
      <c r="AV14" s="5" t="n">
        <f aca="false">AV13+LN(1+($G14+AV$7)*$AM14)</f>
        <v>0.0257848673459989</v>
      </c>
      <c r="AW14" s="5" t="n">
        <f aca="false">AW13+LN(1+($G14+AW$7)*$AM14)</f>
        <v>0.0256949161318353</v>
      </c>
      <c r="AX14" s="5" t="n">
        <f aca="false">AX13+LN(1+($G14+AX$7)*$AM14)</f>
        <v>0.0257848673483401</v>
      </c>
      <c r="AY14" s="5" t="n">
        <f aca="false">AY13+LN(1+($G14+AY$7)*$AM14)</f>
        <v>0.0256949161318345</v>
      </c>
      <c r="AZ14" s="5" t="n">
        <f aca="false">AZ13+LN(1+($G14+AZ$7)*$AM14)</f>
        <v>0.0257848673483392</v>
      </c>
      <c r="BA14" s="5" t="n">
        <f aca="false">BA13+LN(1+($G14+BA$7)*$AM14)</f>
        <v>0.0256949161318345</v>
      </c>
      <c r="BB14" s="5" t="n">
        <f aca="false">BB13+LN(1+($G14+BB$7)*$AM14)</f>
        <v>0.0257848673483392</v>
      </c>
      <c r="BC14" s="5" t="n">
        <f aca="false">BC13+LN(1+($G14+BC$7)*$AM14)</f>
        <v>0.0256949161318345</v>
      </c>
      <c r="BD14" s="5" t="n">
        <f aca="false">BD13+LN(1+($G14+BD$7)*$AM14)</f>
        <v>0.0257848673483392</v>
      </c>
      <c r="BE14" s="5" t="n">
        <f aca="false">IF(AB14,O14,IF(D14,MIN(O14,AC14*X14+BF13),0))</f>
        <v>3102427.53533552</v>
      </c>
      <c r="BF14" s="5" t="n">
        <f aca="false">IF(OR(AB14,E14),0,BE14-AD14)</f>
        <v>0</v>
      </c>
      <c r="BG14" s="5" t="n">
        <f aca="false">BG13+LN(1+($G14+BG$7)*$AM14)</f>
        <v>0.024795288200313</v>
      </c>
      <c r="BH14" s="5"/>
      <c r="BI14" s="5" t="n">
        <f aca="false">BI13+LN(1+($G14+BI$7)*$AM14)</f>
        <v>0.026594333609212</v>
      </c>
      <c r="BJ14" s="5"/>
      <c r="BK14" s="62" t="n">
        <f aca="false">C14</f>
        <v>46615</v>
      </c>
      <c r="BL14" s="67" t="n">
        <f aca="false">AI14</f>
        <v>3745597.15756293</v>
      </c>
    </row>
    <row r="15" customFormat="false" ht="15" hidden="false" customHeight="true" outlineLevel="0" collapsed="false">
      <c r="A15" s="3" t="n">
        <v>5</v>
      </c>
      <c r="B15" s="38" t="n">
        <f aca="false">EDATE(Inputs!$C$8,3*(A15-1))</f>
        <v>46706</v>
      </c>
      <c r="C15" s="38" t="n">
        <f aca="false">WORKDAY(B15-1,1)</f>
        <v>46706</v>
      </c>
      <c r="D15" s="61" t="b">
        <f aca="false">C15&lt;=Inputs!$C$9</f>
        <v>1</v>
      </c>
      <c r="E15" s="61" t="b">
        <f aca="false">AND(D15,NOT(D16))</f>
        <v>0</v>
      </c>
      <c r="F15" s="63" t="n">
        <f aca="false">(C15-C14)/360</f>
        <v>0.252777777777778</v>
      </c>
      <c r="G15" s="57" t="n">
        <f aca="false">Curve!D8</f>
        <v>0.02252</v>
      </c>
      <c r="H15" s="64" t="n">
        <f aca="false">AF14</f>
        <v>105727468.951438</v>
      </c>
      <c r="I15" s="64" t="n">
        <f aca="false">IF(D15,H15*Inputs!$G$22,0)</f>
        <v>26441.7849740171</v>
      </c>
      <c r="J15" s="32" t="n">
        <f aca="false">MAX(Inputs!$G$24-(A15-1),1)</f>
        <v>41.5917704676111</v>
      </c>
      <c r="K15" s="64" t="n">
        <f aca="false">IF(D15,MIN(H15-I15,IF(J15&gt;1,(H15-I15)*Inputs!$G$23/((1+Inputs!$G$23)^J15-1),H15-I15)),0)</f>
        <v>2155028.81374007</v>
      </c>
      <c r="L15" s="64" t="n">
        <f aca="false">IF(D15,(H15-I15-K15)*Inputs!$G$21,0)</f>
        <v>1115483.85865152</v>
      </c>
      <c r="M15" s="64" t="n">
        <f aca="false">IF(A15&gt;Inputs!$G$13,(1-Inputs!$G$12)*INDEX($I$11:$I$190,A15-Inputs!$G$13),0)</f>
        <v>0</v>
      </c>
      <c r="N15" s="64" t="n">
        <f aca="false">IF(D15,(H15-I15)*Inputs!$G$23,0)</f>
        <v>838737.650565895</v>
      </c>
      <c r="O15" s="64" t="n">
        <f aca="false">AG14</f>
        <v>98187671.8565366</v>
      </c>
      <c r="P15" s="64" t="n">
        <f aca="false">AH14</f>
        <v>7536358.65490183</v>
      </c>
      <c r="Q15" s="64" t="n">
        <f aca="false">IF(AND(D15,O15+P15&gt;0),Inputs!$C$25+Inputs!$C$26*H15/4,0)</f>
        <v>126431.86723786</v>
      </c>
      <c r="R15" s="64" t="n">
        <f aca="false">O15*IF(Inputs!$G$19="",G15+Inputs!$C$13,MAX(Inputs!$G$19,G15+Inputs!$C$13))*F15</f>
        <v>623469.896806372</v>
      </c>
      <c r="S15" s="64" t="n">
        <f aca="false">P15*(G15+Inputs!$C$14)*F15</f>
        <v>56355.5793502855</v>
      </c>
      <c r="T15" s="64" t="n">
        <f aca="false">N15+M15-Q15-R15-S15</f>
        <v>32480.3071713773</v>
      </c>
      <c r="U15" s="64" t="n">
        <f aca="false">W14</f>
        <v>0</v>
      </c>
      <c r="V15" s="64" t="n">
        <f aca="false">MIN(U15+I15,MAX(T15,0))</f>
        <v>26441.7849740171</v>
      </c>
      <c r="W15" s="64" t="n">
        <f aca="false">U15+I15-V15</f>
        <v>0</v>
      </c>
      <c r="X15" s="64" t="n">
        <f aca="false">K15+L15+V15+IF(E15,H15-I15-K15-L15,0)</f>
        <v>3296954.45736561</v>
      </c>
      <c r="Y15" s="61" t="b">
        <f aca="false">AND(Inputs!$C$21=1,O15/Inputs!$C$10&lt;=Inputs!$C$22,Inputs!$G$14&lt;Inputs!$C$23,W15&lt;1)</f>
        <v>1</v>
      </c>
      <c r="Z15" s="61" t="b">
        <f aca="false">OR(AND(Inputs!$G$15=1,H15/Inputs!$C$17&lt;=Inputs!$C$24),AND(Inputs!$G$15=2,C15&gt;=Inputs!$G$16))</f>
        <v>0</v>
      </c>
      <c r="AA15" s="61" t="b">
        <f aca="false">OR(AA14,Z15)</f>
        <v>0</v>
      </c>
      <c r="AB15" s="61" t="b">
        <f aca="false">AND(Z15,NOT(AA14),D15,O15&gt;0)</f>
        <v>0</v>
      </c>
      <c r="AC15" s="63" t="n">
        <f aca="false">IF(AND(Y15,NOT(E15),O15+P15&gt;0),O15/(O15+P15),1)</f>
        <v>0.928716691763974</v>
      </c>
      <c r="AD15" s="64" t="n">
        <f aca="false">IF(AB15,O15,IF(D15,MIN(O15,IF(E15,AC15*X15+BF14,BE15*Inputs!$G$20)),0))</f>
        <v>3061936.63654108</v>
      </c>
      <c r="AE15" s="64" t="n">
        <f aca="false">IF(AB15,P15,IF(D15,MAX(MIN(P15,X15-MIN(O15,AC15*X15)),0),0))</f>
        <v>235017.820824531</v>
      </c>
      <c r="AF15" s="64" t="n">
        <f aca="false">IF(OR(AB15,E15),0,MAX(H15-I15-K15-L15,0))</f>
        <v>102430514.494073</v>
      </c>
      <c r="AG15" s="64" t="n">
        <f aca="false">IF(E15,0,O15-AD15)</f>
        <v>95125735.2199955</v>
      </c>
      <c r="AH15" s="64" t="n">
        <f aca="false">IF(OR(AB15,E15),0,P15-AE15)</f>
        <v>7301340.8340773</v>
      </c>
      <c r="AI15" s="64" t="n">
        <f aca="false">IF(D15,R15+AD15,0)</f>
        <v>3685406.53334745</v>
      </c>
      <c r="AJ15" s="65" t="n">
        <f aca="false">(C15-Inputs!$G$6)/365</f>
        <v>1.14246575342466</v>
      </c>
      <c r="AK15" s="29" t="n">
        <f aca="false">AG15/Inputs!$C$10</f>
        <v>0.0672861080247536</v>
      </c>
      <c r="AL15" s="5"/>
      <c r="AM15" s="66" t="n">
        <f aca="false">F15</f>
        <v>0.252777777777778</v>
      </c>
      <c r="AN15" s="5"/>
      <c r="AO15" s="5" t="n">
        <f aca="false">AO14+LN(1+($G15+AO$7)*$AM15)</f>
        <v>0.0290102121111212</v>
      </c>
      <c r="AP15" s="5" t="n">
        <f aca="false">AP14+LN(1+($G15+AP$7)*$AM15)</f>
        <v>0.029125351847566</v>
      </c>
      <c r="AQ15" s="5" t="n">
        <f aca="false">AQ14+LN(1+($G15+AQ$7)*$AM15)</f>
        <v>0.0328238672297541</v>
      </c>
      <c r="AR15" s="5" t="n">
        <f aca="false">AR14+LN(1+($G15+AR$7)*$AM15)</f>
        <v>0.0329389162902284</v>
      </c>
      <c r="AS15" s="5" t="n">
        <f aca="false">AS14+LN(1+($G15+AS$7)*$AM15)</f>
        <v>0.0328656875879393</v>
      </c>
      <c r="AT15" s="5" t="n">
        <f aca="false">AT14+LN(1+($G15+AT$7)*$AM15)</f>
        <v>0.0329807356544791</v>
      </c>
      <c r="AU15" s="5" t="n">
        <f aca="false">AU14+LN(1+($G15+AU$7)*$AM15)</f>
        <v>0.0328656786588925</v>
      </c>
      <c r="AV15" s="5" t="n">
        <f aca="false">AV14+LN(1+($G15+AV$7)*$AM15)</f>
        <v>0.0329807267256444</v>
      </c>
      <c r="AW15" s="5" t="n">
        <f aca="false">AW14+LN(1+($G15+AW$7)*$AM15)</f>
        <v>0.0328656786618878</v>
      </c>
      <c r="AX15" s="5" t="n">
        <f aca="false">AX14+LN(1+($G15+AX$7)*$AM15)</f>
        <v>0.0329807267286389</v>
      </c>
      <c r="AY15" s="5" t="n">
        <f aca="false">AY14+LN(1+($G15+AY$7)*$AM15)</f>
        <v>0.0328656786618867</v>
      </c>
      <c r="AZ15" s="5" t="n">
        <f aca="false">AZ14+LN(1+($G15+AZ$7)*$AM15)</f>
        <v>0.0329807267286378</v>
      </c>
      <c r="BA15" s="5" t="n">
        <f aca="false">BA14+LN(1+($G15+BA$7)*$AM15)</f>
        <v>0.0328656786618867</v>
      </c>
      <c r="BB15" s="5" t="n">
        <f aca="false">BB14+LN(1+($G15+BB$7)*$AM15)</f>
        <v>0.0329807267286378</v>
      </c>
      <c r="BC15" s="5" t="n">
        <f aca="false">BC14+LN(1+($G15+BC$7)*$AM15)</f>
        <v>0.0328656786618867</v>
      </c>
      <c r="BD15" s="5" t="n">
        <f aca="false">BD14+LN(1+($G15+BD$7)*$AM15)</f>
        <v>0.0329807267286378</v>
      </c>
      <c r="BE15" s="5" t="n">
        <f aca="false">IF(AB15,O15,IF(D15,MIN(O15,AC15*X15+BF14),0))</f>
        <v>3061936.63654108</v>
      </c>
      <c r="BF15" s="5" t="n">
        <f aca="false">IF(OR(AB15,E15),0,BE15-AD15)</f>
        <v>0</v>
      </c>
      <c r="BG15" s="5" t="n">
        <f aca="false">BG14+LN(1+($G15+BG$7)*$AM15)</f>
        <v>0.0317150475799598</v>
      </c>
      <c r="BH15" s="5"/>
      <c r="BI15" s="5" t="n">
        <f aca="false">BI14+LN(1+($G15+BI$7)*$AM15)</f>
        <v>0.0340160363028976</v>
      </c>
      <c r="BJ15" s="5"/>
      <c r="BK15" s="62" t="n">
        <f aca="false">C15</f>
        <v>46706</v>
      </c>
      <c r="BL15" s="67" t="n">
        <f aca="false">AI15</f>
        <v>3685406.53334745</v>
      </c>
    </row>
    <row r="16" customFormat="false" ht="15" hidden="false" customHeight="true" outlineLevel="0" collapsed="false">
      <c r="A16" s="3" t="n">
        <v>6</v>
      </c>
      <c r="B16" s="38" t="n">
        <f aca="false">EDATE(Inputs!$C$8,3*(A16-1))</f>
        <v>46798</v>
      </c>
      <c r="C16" s="38" t="n">
        <f aca="false">WORKDAY(B16-1,1)</f>
        <v>46798</v>
      </c>
      <c r="D16" s="61" t="b">
        <f aca="false">C16&lt;=Inputs!$C$9</f>
        <v>1</v>
      </c>
      <c r="E16" s="61" t="b">
        <f aca="false">AND(D16,NOT(D17))</f>
        <v>0</v>
      </c>
      <c r="F16" s="63" t="n">
        <f aca="false">(C16-C15)/360</f>
        <v>0.255555555555556</v>
      </c>
      <c r="G16" s="57" t="n">
        <f aca="false">Curve!D9</f>
        <v>0.02252</v>
      </c>
      <c r="H16" s="64" t="n">
        <f aca="false">AF15</f>
        <v>102430514.494073</v>
      </c>
      <c r="I16" s="64" t="n">
        <f aca="false">IF(D16,H16*Inputs!$G$22,0)</f>
        <v>25617.2370897692</v>
      </c>
      <c r="J16" s="32" t="n">
        <f aca="false">MAX(Inputs!$G$24-(A16-1),1)</f>
        <v>40.5917704676111</v>
      </c>
      <c r="K16" s="64" t="n">
        <f aca="false">IF(D16,MIN(H16-I16,IF(J16&gt;1,(H16-I16)*Inputs!$G$23/((1+Inputs!$G$23)^J16-1),H16-I16)),0)</f>
        <v>2148191.59863087</v>
      </c>
      <c r="L16" s="64" t="n">
        <f aca="false">IF(D16,(H16-I16-K16)*Inputs!$G$21,0)</f>
        <v>1080048.85425421</v>
      </c>
      <c r="M16" s="64" t="n">
        <f aca="false">IF(A16&gt;Inputs!$G$13,(1-Inputs!$G$12)*INDEX($I$11:$I$190,A16-Inputs!$G$13),0)</f>
        <v>0</v>
      </c>
      <c r="N16" s="64" t="n">
        <f aca="false">IF(D16,(H16-I16)*Inputs!$G$23,0)</f>
        <v>812582.85973416</v>
      </c>
      <c r="O16" s="64" t="n">
        <f aca="false">AG15</f>
        <v>95125735.2199955</v>
      </c>
      <c r="P16" s="64" t="n">
        <f aca="false">AH15</f>
        <v>7301340.8340773</v>
      </c>
      <c r="Q16" s="64" t="n">
        <f aca="false">IF(AND(D16,O16+P16&gt;0),Inputs!$C$25+Inputs!$C$26*H16/4,0)</f>
        <v>125607.628623518</v>
      </c>
      <c r="R16" s="64" t="n">
        <f aca="false">O16*IF(Inputs!$G$19="",G16+Inputs!$C$13,MAX(Inputs!$G$19,G16+Inputs!$C$13))*F16</f>
        <v>610664.942007829</v>
      </c>
      <c r="S16" s="64" t="n">
        <f aca="false">P16*(G16+Inputs!$C$14)*F16</f>
        <v>55198.1367056244</v>
      </c>
      <c r="T16" s="64" t="n">
        <f aca="false">N16+M16-Q16-R16-S16</f>
        <v>21112.152397189</v>
      </c>
      <c r="U16" s="64" t="n">
        <f aca="false">W15</f>
        <v>0</v>
      </c>
      <c r="V16" s="64" t="n">
        <f aca="false">MIN(U16+I16,MAX(T16,0))</f>
        <v>21112.152397189</v>
      </c>
      <c r="W16" s="64" t="n">
        <f aca="false">U16+I16-V16</f>
        <v>4505.08469258025</v>
      </c>
      <c r="X16" s="64" t="n">
        <f aca="false">K16+L16+V16+IF(E16,H16-I16-K16-L16,0)</f>
        <v>3249352.60528227</v>
      </c>
      <c r="Y16" s="61" t="b">
        <f aca="false">AND(Inputs!$C$21=1,O16/Inputs!$C$10&lt;=Inputs!$C$22,Inputs!$G$14&lt;Inputs!$C$23,W16&lt;1)</f>
        <v>0</v>
      </c>
      <c r="Z16" s="61" t="b">
        <f aca="false">OR(AND(Inputs!$G$15=1,H16/Inputs!$C$17&lt;=Inputs!$C$24),AND(Inputs!$G$15=2,C16&gt;=Inputs!$G$16))</f>
        <v>0</v>
      </c>
      <c r="AA16" s="61" t="b">
        <f aca="false">OR(AA15,Z16)</f>
        <v>0</v>
      </c>
      <c r="AB16" s="61" t="b">
        <f aca="false">AND(Z16,NOT(AA15),D16,O16&gt;0)</f>
        <v>0</v>
      </c>
      <c r="AC16" s="63" t="n">
        <f aca="false">IF(AND(Y16,NOT(E16),O16+P16&gt;0),O16/(O16+P16),1)</f>
        <v>1</v>
      </c>
      <c r="AD16" s="64" t="n">
        <f aca="false">IF(AB16,O16,IF(D16,MIN(O16,IF(E16,AC16*X16+BF15,BE16*Inputs!$G$20)),0))</f>
        <v>3249352.60528227</v>
      </c>
      <c r="AE16" s="64" t="n">
        <f aca="false">IF(AB16,P16,IF(D16,MAX(MIN(P16,X16-MIN(O16,AC16*X16)),0),0))</f>
        <v>0</v>
      </c>
      <c r="AF16" s="64" t="n">
        <f aca="false">IF(OR(AB16,E16),0,MAX(H16-I16-K16-L16,0))</f>
        <v>99176656.8040979</v>
      </c>
      <c r="AG16" s="64" t="n">
        <f aca="false">IF(E16,0,O16-AD16)</f>
        <v>91876382.6147132</v>
      </c>
      <c r="AH16" s="64" t="n">
        <f aca="false">IF(OR(AB16,E16),0,P16-AE16)</f>
        <v>7301340.8340773</v>
      </c>
      <c r="AI16" s="64" t="n">
        <f aca="false">IF(D16,R16+AD16,0)</f>
        <v>3860017.5472901</v>
      </c>
      <c r="AJ16" s="65" t="n">
        <f aca="false">(C16-Inputs!$G$6)/365</f>
        <v>1.39452054794521</v>
      </c>
      <c r="AK16" s="29" t="n">
        <f aca="false">AG16/Inputs!$C$10</f>
        <v>0.0649877153773391</v>
      </c>
      <c r="AL16" s="5"/>
      <c r="AM16" s="66" t="n">
        <f aca="false">F16</f>
        <v>0.255555555555556</v>
      </c>
      <c r="AN16" s="5"/>
      <c r="AO16" s="5" t="n">
        <f aca="false">AO15+LN(1+($G16+AO$7)*$AM16)</f>
        <v>0.0354092500822787</v>
      </c>
      <c r="AP16" s="5" t="n">
        <f aca="false">AP15+LN(1+($G16+AP$7)*$AM16)</f>
        <v>0.0355497820430296</v>
      </c>
      <c r="AQ16" s="5" t="n">
        <f aca="false">AQ15+LN(1+($G16+AQ$7)*$AM16)</f>
        <v>0.0400639240572347</v>
      </c>
      <c r="AR16" s="5" t="n">
        <f aca="false">AR15+LN(1+($G16+AR$7)*$AM16)</f>
        <v>0.0402043439959242</v>
      </c>
      <c r="AS16" s="5" t="n">
        <f aca="false">AS15+LN(1+($G16+AS$7)*$AM16)</f>
        <v>0.0401149667398055</v>
      </c>
      <c r="AT16" s="5" t="n">
        <f aca="false">AT15+LN(1+($G16+AT$7)*$AM16)</f>
        <v>0.0402553854505859</v>
      </c>
      <c r="AU16" s="5" t="n">
        <f aca="false">AU15+LN(1+($G16+AU$7)*$AM16)</f>
        <v>0.0401149558417048</v>
      </c>
      <c r="AV16" s="5" t="n">
        <f aca="false">AV15+LN(1+($G16+AV$7)*$AM16)</f>
        <v>0.0402553745527474</v>
      </c>
      <c r="AW16" s="5" t="n">
        <f aca="false">AW15+LN(1+($G16+AW$7)*$AM16)</f>
        <v>0.0401149558453605</v>
      </c>
      <c r="AX16" s="5" t="n">
        <f aca="false">AX15+LN(1+($G16+AX$7)*$AM16)</f>
        <v>0.0402553745564022</v>
      </c>
      <c r="AY16" s="5" t="n">
        <f aca="false">AY15+LN(1+($G16+AY$7)*$AM16)</f>
        <v>0.0401149558453594</v>
      </c>
      <c r="AZ16" s="5" t="n">
        <f aca="false">AZ15+LN(1+($G16+AZ$7)*$AM16)</f>
        <v>0.0402553745564009</v>
      </c>
      <c r="BA16" s="5" t="n">
        <f aca="false">BA15+LN(1+($G16+BA$7)*$AM16)</f>
        <v>0.0401149558453594</v>
      </c>
      <c r="BB16" s="5" t="n">
        <f aca="false">BB15+LN(1+($G16+BB$7)*$AM16)</f>
        <v>0.0402553745564009</v>
      </c>
      <c r="BC16" s="5" t="n">
        <f aca="false">BC15+LN(1+($G16+BC$7)*$AM16)</f>
        <v>0.0401149558453594</v>
      </c>
      <c r="BD16" s="5" t="n">
        <f aca="false">BD15+LN(1+($G16+BD$7)*$AM16)</f>
        <v>0.0402553745564009</v>
      </c>
      <c r="BE16" s="5" t="n">
        <f aca="false">IF(AB16,O16,IF(D16,MIN(O16,AC16*X16+BF15),0))</f>
        <v>3249352.60528227</v>
      </c>
      <c r="BF16" s="5" t="n">
        <f aca="false">IF(OR(AB16,E16),0,BE16-AD16)</f>
        <v>0</v>
      </c>
      <c r="BG16" s="5" t="n">
        <f aca="false">BG15+LN(1+($G16+BG$7)*$AM16)</f>
        <v>0.0387105829124105</v>
      </c>
      <c r="BH16" s="5"/>
      <c r="BI16" s="5" t="n">
        <f aca="false">BI15+LN(1+($G16+BI$7)*$AM16)</f>
        <v>0.0415189909687975</v>
      </c>
      <c r="BJ16" s="5"/>
      <c r="BK16" s="62" t="n">
        <f aca="false">C16</f>
        <v>46798</v>
      </c>
      <c r="BL16" s="67" t="n">
        <f aca="false">AI16</f>
        <v>3860017.5472901</v>
      </c>
    </row>
    <row r="17" customFormat="false" ht="15" hidden="false" customHeight="true" outlineLevel="0" collapsed="false">
      <c r="A17" s="3" t="n">
        <v>7</v>
      </c>
      <c r="B17" s="38" t="n">
        <f aca="false">EDATE(Inputs!$C$8,3*(A17-1))</f>
        <v>46888</v>
      </c>
      <c r="C17" s="38" t="n">
        <f aca="false">WORKDAY(B17-1,1)</f>
        <v>46888</v>
      </c>
      <c r="D17" s="61" t="b">
        <f aca="false">C17&lt;=Inputs!$C$9</f>
        <v>1</v>
      </c>
      <c r="E17" s="61" t="b">
        <f aca="false">AND(D17,NOT(D18))</f>
        <v>0</v>
      </c>
      <c r="F17" s="63" t="n">
        <f aca="false">(C17-C16)/360</f>
        <v>0.25</v>
      </c>
      <c r="G17" s="57" t="n">
        <f aca="false">Curve!D10</f>
        <v>0.02252</v>
      </c>
      <c r="H17" s="64" t="n">
        <f aca="false">AF16</f>
        <v>99176656.8040979</v>
      </c>
      <c r="I17" s="64" t="n">
        <f aca="false">IF(D17,H17*Inputs!$G$22,0)</f>
        <v>24803.4674400495</v>
      </c>
      <c r="J17" s="32" t="n">
        <f aca="false">MAX(Inputs!$G$24-(A17-1),1)</f>
        <v>39.5917704676111</v>
      </c>
      <c r="K17" s="64" t="n">
        <f aca="false">IF(D17,MIN(H17-I17,IF(J17&gt;1,(H17-I17)*Inputs!$G$23/((1+Inputs!$G$23)^J17-1),H17-I17)),0)</f>
        <v>2141376.07581189</v>
      </c>
      <c r="L17" s="64" t="n">
        <f aca="false">IF(D17,(H17-I17-K17)*Inputs!$G$21,0)</f>
        <v>1045077.77438129</v>
      </c>
      <c r="M17" s="64" t="n">
        <f aca="false">IF(A17&gt;Inputs!$G$13,(1-Inputs!$G$12)*INDEX($I$11:$I$190,A17-Inputs!$G$13),0)</f>
        <v>0</v>
      </c>
      <c r="N17" s="64" t="n">
        <f aca="false">IF(D17,(H17-I17)*Inputs!$G$23,0)</f>
        <v>786769.95622638</v>
      </c>
      <c r="O17" s="64" t="n">
        <f aca="false">AG16</f>
        <v>91876382.6147132</v>
      </c>
      <c r="P17" s="64" t="n">
        <f aca="false">AH16</f>
        <v>7301340.8340773</v>
      </c>
      <c r="Q17" s="64" t="n">
        <f aca="false">IF(AND(D17,O17+P17&gt;0),Inputs!$C$25+Inputs!$C$26*H17/4,0)</f>
        <v>124794.164201024</v>
      </c>
      <c r="R17" s="64" t="n">
        <f aca="false">O17*IF(Inputs!$G$19="",G17+Inputs!$C$13,MAX(Inputs!$G$19,G17+Inputs!$C$13))*F17</f>
        <v>576983.682820399</v>
      </c>
      <c r="S17" s="64" t="n">
        <f aca="false">P17*(G17+Inputs!$C$14)*F17</f>
        <v>53998.1772120239</v>
      </c>
      <c r="T17" s="64" t="n">
        <f aca="false">N17+M17-Q17-R17-S17</f>
        <v>30993.9319929329</v>
      </c>
      <c r="U17" s="64" t="n">
        <f aca="false">W16</f>
        <v>4505.08469258025</v>
      </c>
      <c r="V17" s="64" t="n">
        <f aca="false">MIN(U17+I17,MAX(T17,0))</f>
        <v>29308.5521326297</v>
      </c>
      <c r="W17" s="64" t="n">
        <f aca="false">U17+I17-V17</f>
        <v>0</v>
      </c>
      <c r="X17" s="64" t="n">
        <f aca="false">K17+L17+V17+IF(E17,H17-I17-K17-L17,0)</f>
        <v>3215762.40232581</v>
      </c>
      <c r="Y17" s="61" t="b">
        <f aca="false">AND(Inputs!$C$21=1,O17/Inputs!$C$10&lt;=Inputs!$C$22,Inputs!$G$14&lt;Inputs!$C$23,W17&lt;1)</f>
        <v>1</v>
      </c>
      <c r="Z17" s="61" t="b">
        <f aca="false">OR(AND(Inputs!$G$15=1,H17/Inputs!$C$17&lt;=Inputs!$C$24),AND(Inputs!$G$15=2,C17&gt;=Inputs!$G$16))</f>
        <v>0</v>
      </c>
      <c r="AA17" s="61" t="b">
        <f aca="false">OR(AA16,Z17)</f>
        <v>0</v>
      </c>
      <c r="AB17" s="61" t="b">
        <f aca="false">AND(Z17,NOT(AA16),D17,O17&gt;0)</f>
        <v>0</v>
      </c>
      <c r="AC17" s="63" t="n">
        <f aca="false">IF(AND(Y17,NOT(E17),O17+P17&gt;0),O17/(O17+P17),1)</f>
        <v>0.926381241873864</v>
      </c>
      <c r="AD17" s="64" t="n">
        <f aca="false">IF(AB17,O17,IF(D17,MIN(O17,IF(E17,AC17*X17+BF16,BE17*Inputs!$G$20)),0))</f>
        <v>2979021.96783786</v>
      </c>
      <c r="AE17" s="64" t="n">
        <f aca="false">IF(AB17,P17,IF(D17,MAX(MIN(P17,X17-MIN(O17,AC17*X17)),0),0))</f>
        <v>236740.434487945</v>
      </c>
      <c r="AF17" s="64" t="n">
        <f aca="false">IF(OR(AB17,E17),0,MAX(H17-I17-K17-L17,0))</f>
        <v>95965399.4864647</v>
      </c>
      <c r="AG17" s="64" t="n">
        <f aca="false">IF(E17,0,O17-AD17)</f>
        <v>88897360.6468753</v>
      </c>
      <c r="AH17" s="64" t="n">
        <f aca="false">IF(OR(AB17,E17),0,P17-AE17)</f>
        <v>7064600.39958936</v>
      </c>
      <c r="AI17" s="64" t="n">
        <f aca="false">IF(D17,R17+AD17,0)</f>
        <v>3556005.65065826</v>
      </c>
      <c r="AJ17" s="65" t="n">
        <f aca="false">(C17-Inputs!$G$6)/365</f>
        <v>1.64109589041096</v>
      </c>
      <c r="AK17" s="29" t="n">
        <f aca="false">AG17/Inputs!$C$10</f>
        <v>0.0628805380349251</v>
      </c>
      <c r="AL17" s="5"/>
      <c r="AM17" s="66" t="n">
        <f aca="false">F17</f>
        <v>0.25</v>
      </c>
      <c r="AN17" s="5"/>
      <c r="AO17" s="5" t="n">
        <f aca="false">AO16+LN(1+($G17+AO$7)*$AM17)</f>
        <v>0.0416696130530927</v>
      </c>
      <c r="AP17" s="5" t="n">
        <f aca="false">AP16+LN(1+($G17+AP$7)*$AM17)</f>
        <v>0.0418349886850437</v>
      </c>
      <c r="AQ17" s="5" t="n">
        <f aca="false">AQ16+LN(1+($G17+AQ$7)*$AM17)</f>
        <v>0.0471471444397016</v>
      </c>
      <c r="AR17" s="5" t="n">
        <f aca="false">AR16+LN(1+($G17+AR$7)*$AM17)</f>
        <v>0.0473123876154545</v>
      </c>
      <c r="AS17" s="5" t="n">
        <f aca="false">AS16+LN(1+($G17+AS$7)*$AM17)</f>
        <v>0.0472072103773076</v>
      </c>
      <c r="AT17" s="5" t="n">
        <f aca="false">AT16+LN(1+($G17+AT$7)*$AM17)</f>
        <v>0.0473724521011686</v>
      </c>
      <c r="AU17" s="5" t="n">
        <f aca="false">AU16+LN(1+($G17+AU$7)*$AM17)</f>
        <v>0.047207197552656</v>
      </c>
      <c r="AV17" s="5" t="n">
        <f aca="false">AV16+LN(1+($G17+AV$7)*$AM17)</f>
        <v>0.047372439276827</v>
      </c>
      <c r="AW17" s="5" t="n">
        <f aca="false">AW16+LN(1+($G17+AW$7)*$AM17)</f>
        <v>0.0472071975569578</v>
      </c>
      <c r="AX17" s="5" t="n">
        <f aca="false">AX16+LN(1+($G17+AX$7)*$AM17)</f>
        <v>0.0473724392811281</v>
      </c>
      <c r="AY17" s="5" t="n">
        <f aca="false">AY16+LN(1+($G17+AY$7)*$AM17)</f>
        <v>0.0472071975569565</v>
      </c>
      <c r="AZ17" s="5" t="n">
        <f aca="false">AZ16+LN(1+($G17+AZ$7)*$AM17)</f>
        <v>0.0473724392811265</v>
      </c>
      <c r="BA17" s="5" t="n">
        <f aca="false">BA16+LN(1+($G17+BA$7)*$AM17)</f>
        <v>0.0472071975569565</v>
      </c>
      <c r="BB17" s="5" t="n">
        <f aca="false">BB16+LN(1+($G17+BB$7)*$AM17)</f>
        <v>0.0473724392811265</v>
      </c>
      <c r="BC17" s="5" t="n">
        <f aca="false">BC16+LN(1+($G17+BC$7)*$AM17)</f>
        <v>0.0472071975569565</v>
      </c>
      <c r="BD17" s="5" t="n">
        <f aca="false">BD16+LN(1+($G17+BD$7)*$AM17)</f>
        <v>0.0473724392811265</v>
      </c>
      <c r="BE17" s="5" t="n">
        <f aca="false">IF(AB17,O17,IF(D17,MIN(O17,AC17*X17+BF16),0))</f>
        <v>2979021.96783786</v>
      </c>
      <c r="BF17" s="5" t="n">
        <f aca="false">IF(OR(AB17,E17),0,BE17-AD17)</f>
        <v>0</v>
      </c>
      <c r="BG17" s="5" t="n">
        <f aca="false">BG16+LN(1+($G17+BG$7)*$AM17)</f>
        <v>0.0455545605968232</v>
      </c>
      <c r="BH17" s="5"/>
      <c r="BI17" s="5" t="n">
        <f aca="false">BI16+LN(1+($G17+BI$7)*$AM17)</f>
        <v>0.0488594350878493</v>
      </c>
      <c r="BJ17" s="5"/>
      <c r="BK17" s="62" t="n">
        <f aca="false">C17</f>
        <v>46888</v>
      </c>
      <c r="BL17" s="67" t="n">
        <f aca="false">AI17</f>
        <v>3556005.65065826</v>
      </c>
    </row>
    <row r="18" customFormat="false" ht="15" hidden="false" customHeight="true" outlineLevel="0" collapsed="false">
      <c r="A18" s="3" t="n">
        <v>8</v>
      </c>
      <c r="B18" s="38" t="n">
        <f aca="false">EDATE(Inputs!$C$8,3*(A18-1))</f>
        <v>46980</v>
      </c>
      <c r="C18" s="38" t="n">
        <f aca="false">WORKDAY(B18-1,1)</f>
        <v>46980</v>
      </c>
      <c r="D18" s="61" t="b">
        <f aca="false">C18&lt;=Inputs!$C$9</f>
        <v>1</v>
      </c>
      <c r="E18" s="61" t="b">
        <f aca="false">AND(D18,NOT(D19))</f>
        <v>0</v>
      </c>
      <c r="F18" s="63" t="n">
        <f aca="false">(C18-C17)/360</f>
        <v>0.255555555555556</v>
      </c>
      <c r="G18" s="57" t="n">
        <f aca="false">Curve!D11</f>
        <v>0.02252</v>
      </c>
      <c r="H18" s="64" t="n">
        <f aca="false">AF17</f>
        <v>95965399.4864647</v>
      </c>
      <c r="I18" s="64" t="n">
        <f aca="false">IF(D18,H18*Inputs!$G$22,0)</f>
        <v>24000.3518795313</v>
      </c>
      <c r="J18" s="32" t="n">
        <f aca="false">MAX(Inputs!$G$24-(A18-1),1)</f>
        <v>38.5917704676111</v>
      </c>
      <c r="K18" s="64" t="n">
        <f aca="false">IF(D18,MIN(H18-I18,IF(J18&gt;1,(H18-I18)*Inputs!$G$23/((1+Inputs!$G$23)^J18-1),H18-I18)),0)</f>
        <v>2134582.17646044</v>
      </c>
      <c r="L18" s="64" t="n">
        <f aca="false">IF(D18,(H18-I18-K18)*Inputs!$G$21,0)</f>
        <v>1010565.27353008</v>
      </c>
      <c r="M18" s="64" t="n">
        <f aca="false">IF(A18&gt;Inputs!$G$13,(1-Inputs!$G$12)*INDEX($I$11:$I$190,A18-Inputs!$G$13),0)</f>
        <v>0</v>
      </c>
      <c r="N18" s="64" t="n">
        <f aca="false">IF(D18,(H18-I18)*Inputs!$G$23,0)</f>
        <v>761295.002132933</v>
      </c>
      <c r="O18" s="64" t="n">
        <f aca="false">AG17</f>
        <v>88897360.6468753</v>
      </c>
      <c r="P18" s="64" t="n">
        <f aca="false">AH17</f>
        <v>7064600.39958936</v>
      </c>
      <c r="Q18" s="64" t="n">
        <f aca="false">IF(AND(D18,O18+P18&gt;0),Inputs!$C$25+Inputs!$C$26*H18/4,0)</f>
        <v>123991.349871616</v>
      </c>
      <c r="R18" s="64" t="n">
        <f aca="false">O18*IF(Inputs!$G$19="",G18+Inputs!$C$13,MAX(Inputs!$G$19,G18+Inputs!$C$13))*F18</f>
        <v>570681.545414874</v>
      </c>
      <c r="S18" s="64" t="n">
        <f aca="false">P18*(G18+Inputs!$C$14)*F18</f>
        <v>53408.3790208955</v>
      </c>
      <c r="T18" s="64" t="n">
        <f aca="false">N18+M18-Q18-R18-S18</f>
        <v>13213.727825547</v>
      </c>
      <c r="U18" s="64" t="n">
        <f aca="false">W17</f>
        <v>0</v>
      </c>
      <c r="V18" s="64" t="n">
        <f aca="false">MIN(U18+I18,MAX(T18,0))</f>
        <v>13213.727825547</v>
      </c>
      <c r="W18" s="64" t="n">
        <f aca="false">U18+I18-V18</f>
        <v>10786.6240539843</v>
      </c>
      <c r="X18" s="64" t="n">
        <f aca="false">K18+L18+V18+IF(E18,H18-I18-K18-L18,0)</f>
        <v>3158361.17781606</v>
      </c>
      <c r="Y18" s="61" t="b">
        <f aca="false">AND(Inputs!$C$21=1,O18/Inputs!$C$10&lt;=Inputs!$C$22,Inputs!$G$14&lt;Inputs!$C$23,W18&lt;1)</f>
        <v>0</v>
      </c>
      <c r="Z18" s="61" t="b">
        <f aca="false">OR(AND(Inputs!$G$15=1,H18/Inputs!$C$17&lt;=Inputs!$C$24),AND(Inputs!$G$15=2,C18&gt;=Inputs!$G$16))</f>
        <v>0</v>
      </c>
      <c r="AA18" s="61" t="b">
        <f aca="false">OR(AA17,Z18)</f>
        <v>0</v>
      </c>
      <c r="AB18" s="61" t="b">
        <f aca="false">AND(Z18,NOT(AA17),D18,O18&gt;0)</f>
        <v>0</v>
      </c>
      <c r="AC18" s="63" t="n">
        <f aca="false">IF(AND(Y18,NOT(E18),O18+P18&gt;0),O18/(O18+P18),1)</f>
        <v>1</v>
      </c>
      <c r="AD18" s="64" t="n">
        <f aca="false">IF(AB18,O18,IF(D18,MIN(O18,IF(E18,AC18*X18+BF17,BE18*Inputs!$G$20)),0))</f>
        <v>3158361.17781606</v>
      </c>
      <c r="AE18" s="64" t="n">
        <f aca="false">IF(AB18,P18,IF(D18,MAX(MIN(P18,X18-MIN(O18,AC18*X18)),0),0))</f>
        <v>0</v>
      </c>
      <c r="AF18" s="64" t="n">
        <f aca="false">IF(OR(AB18,E18),0,MAX(H18-I18-K18-L18,0))</f>
        <v>92796251.6845946</v>
      </c>
      <c r="AG18" s="64" t="n">
        <f aca="false">IF(E18,0,O18-AD18)</f>
        <v>85738999.4690593</v>
      </c>
      <c r="AH18" s="64" t="n">
        <f aca="false">IF(OR(AB18,E18),0,P18-AE18)</f>
        <v>7064600.39958936</v>
      </c>
      <c r="AI18" s="64" t="n">
        <f aca="false">IF(D18,R18+AD18,0)</f>
        <v>3729042.72323094</v>
      </c>
      <c r="AJ18" s="65" t="n">
        <f aca="false">(C18-Inputs!$G$6)/365</f>
        <v>1.89315068493151</v>
      </c>
      <c r="AK18" s="29" t="n">
        <f aca="false">AG18/Inputs!$C$10</f>
        <v>0.0606465071399181</v>
      </c>
      <c r="AL18" s="5"/>
      <c r="AM18" s="66" t="n">
        <f aca="false">F18</f>
        <v>0.255555555555556</v>
      </c>
      <c r="AN18" s="5"/>
      <c r="AO18" s="5" t="n">
        <f aca="false">AO17+LN(1+($G18+AO$7)*$AM18)</f>
        <v>0.0480686510242502</v>
      </c>
      <c r="AP18" s="5" t="n">
        <f aca="false">AP17+LN(1+($G18+AP$7)*$AM18)</f>
        <v>0.0482594188805073</v>
      </c>
      <c r="AQ18" s="5" t="n">
        <f aca="false">AQ17+LN(1+($G18+AQ$7)*$AM18)</f>
        <v>0.0543872012671822</v>
      </c>
      <c r="AR18" s="5" t="n">
        <f aca="false">AR17+LN(1+($G18+AR$7)*$AM18)</f>
        <v>0.0545778153211503</v>
      </c>
      <c r="AS18" s="5" t="n">
        <f aca="false">AS17+LN(1+($G18+AS$7)*$AM18)</f>
        <v>0.0544564895291738</v>
      </c>
      <c r="AT18" s="5" t="n">
        <f aca="false">AT17+LN(1+($G18+AT$7)*$AM18)</f>
        <v>0.0546471018972754</v>
      </c>
      <c r="AU18" s="5" t="n">
        <f aca="false">AU17+LN(1+($G18+AU$7)*$AM18)</f>
        <v>0.0544564747354683</v>
      </c>
      <c r="AV18" s="5" t="n">
        <f aca="false">AV17+LN(1+($G18+AV$7)*$AM18)</f>
        <v>0.0546470871039299</v>
      </c>
      <c r="AW18" s="5" t="n">
        <f aca="false">AW17+LN(1+($G18+AW$7)*$AM18)</f>
        <v>0.0544564747404304</v>
      </c>
      <c r="AX18" s="5" t="n">
        <f aca="false">AX17+LN(1+($G18+AX$7)*$AM18)</f>
        <v>0.0546470871088914</v>
      </c>
      <c r="AY18" s="5" t="n">
        <f aca="false">AY17+LN(1+($G18+AY$7)*$AM18)</f>
        <v>0.0544564747404291</v>
      </c>
      <c r="AZ18" s="5" t="n">
        <f aca="false">AZ17+LN(1+($G18+AZ$7)*$AM18)</f>
        <v>0.0546470871088896</v>
      </c>
      <c r="BA18" s="5" t="n">
        <f aca="false">BA17+LN(1+($G18+BA$7)*$AM18)</f>
        <v>0.0544564747404291</v>
      </c>
      <c r="BB18" s="5" t="n">
        <f aca="false">BB17+LN(1+($G18+BB$7)*$AM18)</f>
        <v>0.0546470871088896</v>
      </c>
      <c r="BC18" s="5" t="n">
        <f aca="false">BC17+LN(1+($G18+BC$7)*$AM18)</f>
        <v>0.0544564747404291</v>
      </c>
      <c r="BD18" s="5" t="n">
        <f aca="false">BD17+LN(1+($G18+BD$7)*$AM18)</f>
        <v>0.0546470871088896</v>
      </c>
      <c r="BE18" s="5" t="n">
        <f aca="false">IF(AB18,O18,IF(D18,MIN(O18,AC18*X18+BF17),0))</f>
        <v>3158361.17781606</v>
      </c>
      <c r="BF18" s="5" t="n">
        <f aca="false">IF(OR(AB18,E18),0,BE18-AD18)</f>
        <v>0</v>
      </c>
      <c r="BG18" s="5" t="n">
        <f aca="false">BG17+LN(1+($G18+BG$7)*$AM18)</f>
        <v>0.0525500959292739</v>
      </c>
      <c r="BH18" s="5"/>
      <c r="BI18" s="5" t="n">
        <f aca="false">BI17+LN(1+($G18+BI$7)*$AM18)</f>
        <v>0.0563623897537492</v>
      </c>
      <c r="BJ18" s="5"/>
      <c r="BK18" s="62" t="n">
        <f aca="false">C18</f>
        <v>46980</v>
      </c>
      <c r="BL18" s="67" t="n">
        <f aca="false">AI18</f>
        <v>3729042.72323094</v>
      </c>
    </row>
    <row r="19" customFormat="false" ht="15" hidden="false" customHeight="true" outlineLevel="0" collapsed="false">
      <c r="A19" s="3" t="n">
        <v>9</v>
      </c>
      <c r="B19" s="38" t="n">
        <f aca="false">EDATE(Inputs!$C$8,3*(A19-1))</f>
        <v>47072</v>
      </c>
      <c r="C19" s="38" t="n">
        <f aca="false">WORKDAY(B19-1,1)</f>
        <v>47072</v>
      </c>
      <c r="D19" s="61" t="b">
        <f aca="false">C19&lt;=Inputs!$C$9</f>
        <v>1</v>
      </c>
      <c r="E19" s="61" t="b">
        <f aca="false">AND(D19,NOT(D20))</f>
        <v>0</v>
      </c>
      <c r="F19" s="63" t="n">
        <f aca="false">(C19-C18)/360</f>
        <v>0.255555555555556</v>
      </c>
      <c r="G19" s="57" t="n">
        <f aca="false">Curve!D12</f>
        <v>0.02252</v>
      </c>
      <c r="H19" s="64" t="n">
        <f aca="false">AF18</f>
        <v>92796251.6845946</v>
      </c>
      <c r="I19" s="64" t="n">
        <f aca="false">IF(D19,H19*Inputs!$G$22,0)</f>
        <v>23207.7676480256</v>
      </c>
      <c r="J19" s="32" t="n">
        <f aca="false">MAX(Inputs!$G$24-(A19-1),1)</f>
        <v>37.5917704676111</v>
      </c>
      <c r="K19" s="64" t="n">
        <f aca="false">IF(D19,MIN(H19-I19,IF(J19&gt;1,(H19-I19)*Inputs!$G$23/((1+Inputs!$G$23)^J19-1),H19-I19)),0)</f>
        <v>2127809.8319722</v>
      </c>
      <c r="L19" s="64" t="n">
        <f aca="false">IF(D19,(H19-I19-K19)*Inputs!$G$21,0)</f>
        <v>976506.065845634</v>
      </c>
      <c r="M19" s="64" t="n">
        <f aca="false">IF(A19&gt;Inputs!$G$13,(1-Inputs!$G$12)*INDEX($I$11:$I$190,A19-Inputs!$G$13),0)</f>
        <v>23880.2328919059</v>
      </c>
      <c r="N19" s="64" t="n">
        <f aca="false">IF(D19,(H19-I19)*Inputs!$G$23,0)</f>
        <v>736154.103480971</v>
      </c>
      <c r="O19" s="64" t="n">
        <f aca="false">AG18</f>
        <v>85738999.4690593</v>
      </c>
      <c r="P19" s="64" t="n">
        <f aca="false">AH18</f>
        <v>7064600.39958936</v>
      </c>
      <c r="Q19" s="64" t="n">
        <f aca="false">IF(AND(D19,O19+P19&gt;0),Inputs!$C$25+Inputs!$C$26*H19/4,0)</f>
        <v>123199.062921149</v>
      </c>
      <c r="R19" s="64" t="n">
        <f aca="false">O19*IF(Inputs!$G$19="",G19+Inputs!$C$13,MAX(Inputs!$G$19,G19+Inputs!$C$13))*F19</f>
        <v>550406.270369374</v>
      </c>
      <c r="S19" s="64" t="n">
        <f aca="false">P19*(G19+Inputs!$C$14)*F19</f>
        <v>53408.3790208955</v>
      </c>
      <c r="T19" s="64" t="n">
        <f aca="false">N19+M19-Q19-R19-S19</f>
        <v>33020.6240614587</v>
      </c>
      <c r="U19" s="64" t="n">
        <f aca="false">W18</f>
        <v>10786.6240539843</v>
      </c>
      <c r="V19" s="64" t="n">
        <f aca="false">MIN(U19+I19,MAX(T19,0))</f>
        <v>33020.6240614587</v>
      </c>
      <c r="W19" s="64" t="n">
        <f aca="false">U19+I19-V19</f>
        <v>973.767640551181</v>
      </c>
      <c r="X19" s="64" t="n">
        <f aca="false">K19+L19+V19+IF(E19,H19-I19-K19-L19,0)</f>
        <v>3137336.5218793</v>
      </c>
      <c r="Y19" s="61" t="b">
        <f aca="false">AND(Inputs!$C$21=1,O19/Inputs!$C$10&lt;=Inputs!$C$22,Inputs!$G$14&lt;Inputs!$C$23,W19&lt;1)</f>
        <v>0</v>
      </c>
      <c r="Z19" s="61" t="b">
        <f aca="false">OR(AND(Inputs!$G$15=1,H19/Inputs!$C$17&lt;=Inputs!$C$24),AND(Inputs!$G$15=2,C19&gt;=Inputs!$G$16))</f>
        <v>0</v>
      </c>
      <c r="AA19" s="61" t="b">
        <f aca="false">OR(AA18,Z19)</f>
        <v>0</v>
      </c>
      <c r="AB19" s="61" t="b">
        <f aca="false">AND(Z19,NOT(AA18),D19,O19&gt;0)</f>
        <v>0</v>
      </c>
      <c r="AC19" s="63" t="n">
        <f aca="false">IF(AND(Y19,NOT(E19),O19+P19&gt;0),O19/(O19+P19),1)</f>
        <v>1</v>
      </c>
      <c r="AD19" s="64" t="n">
        <f aca="false">IF(AB19,O19,IF(D19,MIN(O19,IF(E19,AC19*X19+BF18,BE19*Inputs!$G$20)),0))</f>
        <v>3137336.5218793</v>
      </c>
      <c r="AE19" s="64" t="n">
        <f aca="false">IF(AB19,P19,IF(D19,MAX(MIN(P19,X19-MIN(O19,AC19*X19)),0),0))</f>
        <v>0</v>
      </c>
      <c r="AF19" s="64" t="n">
        <f aca="false">IF(OR(AB19,E19),0,MAX(H19-I19-K19-L19,0))</f>
        <v>89668728.0191287</v>
      </c>
      <c r="AG19" s="64" t="n">
        <f aca="false">IF(E19,0,O19-AD19)</f>
        <v>82601662.94718</v>
      </c>
      <c r="AH19" s="64" t="n">
        <f aca="false">IF(OR(AB19,E19),0,P19-AE19)</f>
        <v>7064600.39958936</v>
      </c>
      <c r="AI19" s="64" t="n">
        <f aca="false">IF(D19,R19+AD19,0)</f>
        <v>3687742.79224867</v>
      </c>
      <c r="AJ19" s="65" t="n">
        <f aca="false">(C19-Inputs!$G$6)/365</f>
        <v>2.14520547945205</v>
      </c>
      <c r="AK19" s="29" t="n">
        <f aca="false">AG19/Inputs!$C$10</f>
        <v>0.0584273477964138</v>
      </c>
      <c r="AL19" s="5"/>
      <c r="AM19" s="66" t="n">
        <f aca="false">F19</f>
        <v>0.255555555555556</v>
      </c>
      <c r="AN19" s="5"/>
      <c r="AO19" s="5" t="n">
        <f aca="false">AO18+LN(1+($G19+AO$7)*$AM19)</f>
        <v>0.0544676889954077</v>
      </c>
      <c r="AP19" s="5" t="n">
        <f aca="false">AP18+LN(1+($G19+AP$7)*$AM19)</f>
        <v>0.0546838490759709</v>
      </c>
      <c r="AQ19" s="5" t="n">
        <f aca="false">AQ18+LN(1+($G19+AQ$7)*$AM19)</f>
        <v>0.0616272580946628</v>
      </c>
      <c r="AR19" s="5" t="n">
        <f aca="false">AR18+LN(1+($G19+AR$7)*$AM19)</f>
        <v>0.0618432430268461</v>
      </c>
      <c r="AS19" s="5" t="n">
        <f aca="false">AS18+LN(1+($G19+AS$7)*$AM19)</f>
        <v>0.06170576868104</v>
      </c>
      <c r="AT19" s="5" t="n">
        <f aca="false">AT18+LN(1+($G19+AT$7)*$AM19)</f>
        <v>0.0619217516933822</v>
      </c>
      <c r="AU19" s="5" t="n">
        <f aca="false">AU18+LN(1+($G19+AU$7)*$AM19)</f>
        <v>0.0617057519182807</v>
      </c>
      <c r="AV19" s="5" t="n">
        <f aca="false">AV18+LN(1+($G19+AV$7)*$AM19)</f>
        <v>0.0619217349310329</v>
      </c>
      <c r="AW19" s="5" t="n">
        <f aca="false">AW18+LN(1+($G19+AW$7)*$AM19)</f>
        <v>0.061705751923903</v>
      </c>
      <c r="AX19" s="5" t="n">
        <f aca="false">AX18+LN(1+($G19+AX$7)*$AM19)</f>
        <v>0.0619217349366548</v>
      </c>
      <c r="AY19" s="5" t="n">
        <f aca="false">AY18+LN(1+($G19+AY$7)*$AM19)</f>
        <v>0.0617057519239017</v>
      </c>
      <c r="AZ19" s="5" t="n">
        <f aca="false">AZ18+LN(1+($G19+AZ$7)*$AM19)</f>
        <v>0.0619217349366528</v>
      </c>
      <c r="BA19" s="5" t="n">
        <f aca="false">BA18+LN(1+($G19+BA$7)*$AM19)</f>
        <v>0.0617057519239017</v>
      </c>
      <c r="BB19" s="5" t="n">
        <f aca="false">BB18+LN(1+($G19+BB$7)*$AM19)</f>
        <v>0.0619217349366528</v>
      </c>
      <c r="BC19" s="5" t="n">
        <f aca="false">BC18+LN(1+($G19+BC$7)*$AM19)</f>
        <v>0.0617057519239017</v>
      </c>
      <c r="BD19" s="5" t="n">
        <f aca="false">BD18+LN(1+($G19+BD$7)*$AM19)</f>
        <v>0.0619217349366528</v>
      </c>
      <c r="BE19" s="5" t="n">
        <f aca="false">IF(AB19,O19,IF(D19,MIN(O19,AC19*X19+BF18),0))</f>
        <v>3137336.5218793</v>
      </c>
      <c r="BF19" s="5" t="n">
        <f aca="false">IF(OR(AB19,E19),0,BE19-AD19)</f>
        <v>0</v>
      </c>
      <c r="BG19" s="5" t="n">
        <f aca="false">BG18+LN(1+($G19+BG$7)*$AM19)</f>
        <v>0.0595456312617247</v>
      </c>
      <c r="BH19" s="5"/>
      <c r="BI19" s="5" t="n">
        <f aca="false">BI18+LN(1+($G19+BI$7)*$AM19)</f>
        <v>0.0638653444196492</v>
      </c>
      <c r="BJ19" s="5"/>
      <c r="BK19" s="62" t="n">
        <f aca="false">C19</f>
        <v>47072</v>
      </c>
      <c r="BL19" s="67" t="n">
        <f aca="false">AI19</f>
        <v>3687742.79224867</v>
      </c>
    </row>
    <row r="20" customFormat="false" ht="15" hidden="false" customHeight="true" outlineLevel="0" collapsed="false">
      <c r="A20" s="3" t="n">
        <v>10</v>
      </c>
      <c r="B20" s="38" t="n">
        <f aca="false">EDATE(Inputs!$C$8,3*(A20-1))</f>
        <v>47164</v>
      </c>
      <c r="C20" s="38" t="n">
        <f aca="false">WORKDAY(B20-1,1)</f>
        <v>47164</v>
      </c>
      <c r="D20" s="61" t="b">
        <f aca="false">C20&lt;=Inputs!$C$9</f>
        <v>1</v>
      </c>
      <c r="E20" s="61" t="b">
        <f aca="false">AND(D20,NOT(D21))</f>
        <v>0</v>
      </c>
      <c r="F20" s="63" t="n">
        <f aca="false">(C20-C19)/360</f>
        <v>0.255555555555556</v>
      </c>
      <c r="G20" s="57" t="n">
        <f aca="false">Curve!D13</f>
        <v>0.02252</v>
      </c>
      <c r="H20" s="64" t="n">
        <f aca="false">AF19</f>
        <v>89668728.0191287</v>
      </c>
      <c r="I20" s="64" t="n">
        <f aca="false">IF(D20,H20*Inputs!$G$22,0)</f>
        <v>22425.5933551615</v>
      </c>
      <c r="J20" s="32" t="n">
        <f aca="false">MAX(Inputs!$G$24-(A20-1),1)</f>
        <v>36.5917704676111</v>
      </c>
      <c r="K20" s="64" t="n">
        <f aca="false">IF(D20,MIN(H20-I20,IF(J20&gt;1,(H20-I20)*Inputs!$G$23/((1+Inputs!$G$23)^J20-1),H20-I20)),0)</f>
        <v>2121058.97396051</v>
      </c>
      <c r="L20" s="64" t="n">
        <f aca="false">IF(D20,(H20-I20-K20)*Inputs!$G$21,0)</f>
        <v>942894.924461108</v>
      </c>
      <c r="M20" s="64" t="n">
        <f aca="false">IF(A20&gt;Inputs!$G$13,(1-Inputs!$G$12)*INDEX($I$11:$I$190,A20-Inputs!$G$13),0)</f>
        <v>23185.0884725932</v>
      </c>
      <c r="N20" s="64" t="n">
        <f aca="false">IF(D20,(H20-I20)*Inputs!$G$23,0)</f>
        <v>711343.409748513</v>
      </c>
      <c r="O20" s="64" t="n">
        <f aca="false">AG19</f>
        <v>82601662.94718</v>
      </c>
      <c r="P20" s="64" t="n">
        <f aca="false">AH19</f>
        <v>7064600.39958936</v>
      </c>
      <c r="Q20" s="64" t="n">
        <f aca="false">IF(AND(D20,O20+P20&gt;0),Inputs!$C$25+Inputs!$C$26*H20/4,0)</f>
        <v>122417.182004782</v>
      </c>
      <c r="R20" s="64" t="n">
        <f aca="false">O20*IF(Inputs!$G$19="",G20+Inputs!$C$13,MAX(Inputs!$G$19,G20+Inputs!$C$13))*F20</f>
        <v>530265.964270697</v>
      </c>
      <c r="S20" s="64" t="n">
        <f aca="false">P20*(G20+Inputs!$C$14)*F20</f>
        <v>53408.3790208955</v>
      </c>
      <c r="T20" s="64" t="n">
        <f aca="false">N20+M20-Q20-R20-S20</f>
        <v>28436.9729247322</v>
      </c>
      <c r="U20" s="64" t="n">
        <f aca="false">W19</f>
        <v>973.767640551181</v>
      </c>
      <c r="V20" s="64" t="n">
        <f aca="false">MIN(U20+I20,MAX(T20,0))</f>
        <v>23399.3609957127</v>
      </c>
      <c r="W20" s="64" t="n">
        <f aca="false">U20+I20-V20</f>
        <v>0</v>
      </c>
      <c r="X20" s="64" t="n">
        <f aca="false">K20+L20+V20+IF(E20,H20-I20-K20-L20,0)</f>
        <v>3087353.25941733</v>
      </c>
      <c r="Y20" s="61" t="b">
        <f aca="false">AND(Inputs!$C$21=1,O20/Inputs!$C$10&lt;=Inputs!$C$22,Inputs!$G$14&lt;Inputs!$C$23,W20&lt;1)</f>
        <v>1</v>
      </c>
      <c r="Z20" s="61" t="b">
        <f aca="false">OR(AND(Inputs!$G$15=1,H20/Inputs!$C$17&lt;=Inputs!$C$24),AND(Inputs!$G$15=2,C20&gt;=Inputs!$G$16))</f>
        <v>0</v>
      </c>
      <c r="AA20" s="61" t="b">
        <f aca="false">OR(AA19,Z20)</f>
        <v>0</v>
      </c>
      <c r="AB20" s="61" t="b">
        <f aca="false">AND(Z20,NOT(AA19),D20,O20&gt;0)</f>
        <v>0</v>
      </c>
      <c r="AC20" s="63" t="n">
        <f aca="false">IF(AND(Y20,NOT(E20),O20+P20&gt;0),O20/(O20+P20),1)</f>
        <v>0.921212280562332</v>
      </c>
      <c r="AD20" s="64" t="n">
        <f aca="false">IF(AB20,O20,IF(D20,MIN(O20,IF(E20,AC20*X20+BF19,BE20*Inputs!$G$20)),0))</f>
        <v>2844107.73700939</v>
      </c>
      <c r="AE20" s="64" t="n">
        <f aca="false">IF(AB20,P20,IF(D20,MAX(MIN(P20,X20-MIN(O20,AC20*X20)),0),0))</f>
        <v>243245.522407944</v>
      </c>
      <c r="AF20" s="64" t="n">
        <f aca="false">IF(OR(AB20,E20),0,MAX(H20-I20-K20-L20,0))</f>
        <v>86582348.527352</v>
      </c>
      <c r="AG20" s="64" t="n">
        <f aca="false">IF(E20,0,O20-AD20)</f>
        <v>79757555.2101706</v>
      </c>
      <c r="AH20" s="64" t="n">
        <f aca="false">IF(OR(AB20,E20),0,P20-AE20)</f>
        <v>6821354.87718141</v>
      </c>
      <c r="AI20" s="64" t="n">
        <f aca="false">IF(D20,R20+AD20,0)</f>
        <v>3374373.70128008</v>
      </c>
      <c r="AJ20" s="65" t="n">
        <f aca="false">(C20-Inputs!$G$6)/365</f>
        <v>2.3972602739726</v>
      </c>
      <c r="AK20" s="29" t="n">
        <f aca="false">AG20/Inputs!$C$10</f>
        <v>0.0564156005023311</v>
      </c>
      <c r="AL20" s="5"/>
      <c r="AM20" s="66" t="n">
        <f aca="false">F20</f>
        <v>0.255555555555556</v>
      </c>
      <c r="AN20" s="5"/>
      <c r="AO20" s="5" t="n">
        <f aca="false">AO19+LN(1+($G20+AO$7)*$AM20)</f>
        <v>0.0608667269665652</v>
      </c>
      <c r="AP20" s="5" t="n">
        <f aca="false">AP19+LN(1+($G20+AP$7)*$AM20)</f>
        <v>0.0611082792714345</v>
      </c>
      <c r="AQ20" s="5" t="n">
        <f aca="false">AQ19+LN(1+($G20+AQ$7)*$AM20)</f>
        <v>0.0688673149221434</v>
      </c>
      <c r="AR20" s="5" t="n">
        <f aca="false">AR19+LN(1+($G20+AR$7)*$AM20)</f>
        <v>0.0691086707325419</v>
      </c>
      <c r="AS20" s="5" t="n">
        <f aca="false">AS19+LN(1+($G20+AS$7)*$AM20)</f>
        <v>0.0689550478329062</v>
      </c>
      <c r="AT20" s="5" t="n">
        <f aca="false">AT19+LN(1+($G20+AT$7)*$AM20)</f>
        <v>0.069196401489489</v>
      </c>
      <c r="AU20" s="5" t="n">
        <f aca="false">AU19+LN(1+($G20+AU$7)*$AM20)</f>
        <v>0.0689550291010931</v>
      </c>
      <c r="AV20" s="5" t="n">
        <f aca="false">AV19+LN(1+($G20+AV$7)*$AM20)</f>
        <v>0.0691963827581358</v>
      </c>
      <c r="AW20" s="5" t="n">
        <f aca="false">AW19+LN(1+($G20+AW$7)*$AM20)</f>
        <v>0.0689550291073756</v>
      </c>
      <c r="AX20" s="5" t="n">
        <f aca="false">AX19+LN(1+($G20+AX$7)*$AM20)</f>
        <v>0.0691963827644181</v>
      </c>
      <c r="AY20" s="5" t="n">
        <f aca="false">AY19+LN(1+($G20+AY$7)*$AM20)</f>
        <v>0.0689550291073743</v>
      </c>
      <c r="AZ20" s="5" t="n">
        <f aca="false">AZ19+LN(1+($G20+AZ$7)*$AM20)</f>
        <v>0.0691963827644159</v>
      </c>
      <c r="BA20" s="5" t="n">
        <f aca="false">BA19+LN(1+($G20+BA$7)*$AM20)</f>
        <v>0.0689550291073743</v>
      </c>
      <c r="BB20" s="5" t="n">
        <f aca="false">BB19+LN(1+($G20+BB$7)*$AM20)</f>
        <v>0.0691963827644159</v>
      </c>
      <c r="BC20" s="5" t="n">
        <f aca="false">BC19+LN(1+($G20+BC$7)*$AM20)</f>
        <v>0.0689550291073743</v>
      </c>
      <c r="BD20" s="5" t="n">
        <f aca="false">BD19+LN(1+($G20+BD$7)*$AM20)</f>
        <v>0.0691963827644159</v>
      </c>
      <c r="BE20" s="5" t="n">
        <f aca="false">IF(AB20,O20,IF(D20,MIN(O20,AC20*X20+BF19),0))</f>
        <v>2844107.73700939</v>
      </c>
      <c r="BF20" s="5" t="n">
        <f aca="false">IF(OR(AB20,E20),0,BE20-AD20)</f>
        <v>0</v>
      </c>
      <c r="BG20" s="5" t="n">
        <f aca="false">BG19+LN(1+($G20+BG$7)*$AM20)</f>
        <v>0.0665411665941754</v>
      </c>
      <c r="BH20" s="5"/>
      <c r="BI20" s="5" t="n">
        <f aca="false">BI19+LN(1+($G20+BI$7)*$AM20)</f>
        <v>0.0713682990855492</v>
      </c>
      <c r="BJ20" s="5"/>
      <c r="BK20" s="62" t="n">
        <f aca="false">C20</f>
        <v>47164</v>
      </c>
      <c r="BL20" s="67" t="n">
        <f aca="false">AI20</f>
        <v>3374373.70128008</v>
      </c>
    </row>
    <row r="21" customFormat="false" ht="15" hidden="false" customHeight="true" outlineLevel="0" collapsed="false">
      <c r="A21" s="3" t="n">
        <v>11</v>
      </c>
      <c r="B21" s="38" t="n">
        <f aca="false">EDATE(Inputs!$C$8,3*(A21-1))</f>
        <v>47253</v>
      </c>
      <c r="C21" s="38" t="n">
        <f aca="false">WORKDAY(B21-1,1)</f>
        <v>47253</v>
      </c>
      <c r="D21" s="61" t="b">
        <f aca="false">C21&lt;=Inputs!$C$9</f>
        <v>1</v>
      </c>
      <c r="E21" s="61" t="b">
        <f aca="false">AND(D21,NOT(D22))</f>
        <v>0</v>
      </c>
      <c r="F21" s="63" t="n">
        <f aca="false">(C21-C20)/360</f>
        <v>0.247222222222222</v>
      </c>
      <c r="G21" s="57" t="n">
        <f aca="false">Curve!D14</f>
        <v>0.02252</v>
      </c>
      <c r="H21" s="64" t="n">
        <f aca="false">AF20</f>
        <v>86582348.527352</v>
      </c>
      <c r="I21" s="64" t="n">
        <f aca="false">IF(D21,H21*Inputs!$G$22,0)</f>
        <v>21653.7089652376</v>
      </c>
      <c r="J21" s="32" t="n">
        <f aca="false">MAX(Inputs!$G$24-(A21-1),1)</f>
        <v>35.5917704676111</v>
      </c>
      <c r="K21" s="64" t="n">
        <f aca="false">IF(D21,MIN(H21-I21,IF(J21&gt;1,(H21-I21)*Inputs!$G$23/((1+Inputs!$G$23)^J21-1),H21-I21)),0)</f>
        <v>2114329.53425567</v>
      </c>
      <c r="L21" s="64" t="n">
        <f aca="false">IF(D21,(H21-I21-K21)*Inputs!$G$21,0)</f>
        <v>909726.680845313</v>
      </c>
      <c r="M21" s="64" t="n">
        <f aca="false">IF(A21&gt;Inputs!$G$13,(1-Inputs!$G$12)*INDEX($I$11:$I$190,A21-Inputs!$G$13),0)</f>
        <v>22498.9752369587</v>
      </c>
      <c r="N21" s="64" t="n">
        <f aca="false">IF(D21,(H21-I21)*Inputs!$G$23,0)</f>
        <v>686859.113383899</v>
      </c>
      <c r="O21" s="64" t="n">
        <f aca="false">AG20</f>
        <v>79757555.2101706</v>
      </c>
      <c r="P21" s="64" t="n">
        <f aca="false">AH20</f>
        <v>6821354.87718141</v>
      </c>
      <c r="Q21" s="64" t="n">
        <f aca="false">IF(AND(D21,O21+P21&gt;0),Inputs!$C$25+Inputs!$C$26*H21/4,0)</f>
        <v>121645.587131838</v>
      </c>
      <c r="R21" s="64" t="n">
        <f aca="false">O21*IF(Inputs!$G$19="",G21+Inputs!$C$13,MAX(Inputs!$G$19,G21+Inputs!$C$13))*F21</f>
        <v>495312.141756317</v>
      </c>
      <c r="S21" s="64" t="n">
        <f aca="false">P21*(G21+Inputs!$C$14)*F21</f>
        <v>49887.8306039429</v>
      </c>
      <c r="T21" s="64" t="n">
        <f aca="false">N21+M21-Q21-R21-S21</f>
        <v>42512.5291287593</v>
      </c>
      <c r="U21" s="64" t="n">
        <f aca="false">W20</f>
        <v>0</v>
      </c>
      <c r="V21" s="64" t="n">
        <f aca="false">MIN(U21+I21,MAX(T21,0))</f>
        <v>21653.7089652376</v>
      </c>
      <c r="W21" s="64" t="n">
        <f aca="false">U21+I21-V21</f>
        <v>0</v>
      </c>
      <c r="X21" s="64" t="n">
        <f aca="false">K21+L21+V21+IF(E21,H21-I21-K21-L21,0)</f>
        <v>3045709.92406622</v>
      </c>
      <c r="Y21" s="61" t="b">
        <f aca="false">AND(Inputs!$C$21=1,O21/Inputs!$C$10&lt;=Inputs!$C$22,Inputs!$G$14&lt;Inputs!$C$23,W21&lt;1)</f>
        <v>1</v>
      </c>
      <c r="Z21" s="61" t="b">
        <f aca="false">OR(AND(Inputs!$G$15=1,H21/Inputs!$C$17&lt;=Inputs!$C$24),AND(Inputs!$G$15=2,C21&gt;=Inputs!$G$16))</f>
        <v>0</v>
      </c>
      <c r="AA21" s="61" t="b">
        <f aca="false">OR(AA20,Z21)</f>
        <v>0</v>
      </c>
      <c r="AB21" s="61" t="b">
        <f aca="false">AND(Z21,NOT(AA20),D21,O21&gt;0)</f>
        <v>0</v>
      </c>
      <c r="AC21" s="63" t="n">
        <f aca="false">IF(AND(Y21,NOT(E21),O21+P21&gt;0),O21/(O21+P21),1)</f>
        <v>0.921212280562332</v>
      </c>
      <c r="AD21" s="64" t="n">
        <f aca="false">IF(AB21,O21,IF(D21,MIN(O21,IF(E21,AC21*X21+BF20,BE21*Inputs!$G$20)),0))</f>
        <v>2805745.38508037</v>
      </c>
      <c r="AE21" s="64" t="n">
        <f aca="false">IF(AB21,P21,IF(D21,MAX(MIN(P21,X21-MIN(O21,AC21*X21)),0),0))</f>
        <v>239964.538985852</v>
      </c>
      <c r="AF21" s="64" t="n">
        <f aca="false">IF(OR(AB21,E21),0,MAX(H21-I21-K21-L21,0))</f>
        <v>83536638.6032857</v>
      </c>
      <c r="AG21" s="64" t="n">
        <f aca="false">IF(E21,0,O21-AD21)</f>
        <v>76951809.8250902</v>
      </c>
      <c r="AH21" s="64" t="n">
        <f aca="false">IF(OR(AB21,E21),0,P21-AE21)</f>
        <v>6581390.33819556</v>
      </c>
      <c r="AI21" s="64" t="n">
        <f aca="false">IF(D21,R21+AD21,0)</f>
        <v>3301057.52683668</v>
      </c>
      <c r="AJ21" s="65" t="n">
        <f aca="false">(C21-Inputs!$G$6)/365</f>
        <v>2.64109589041096</v>
      </c>
      <c r="AK21" s="29" t="n">
        <f aca="false">AG21/Inputs!$C$10</f>
        <v>0.0544309883820267</v>
      </c>
      <c r="AL21" s="5"/>
      <c r="AM21" s="66" t="n">
        <f aca="false">F21</f>
        <v>0.247222222222222</v>
      </c>
      <c r="AN21" s="5"/>
      <c r="AO21" s="5" t="n">
        <f aca="false">AO20+LN(1+($G21+AO$7)*$AM21)</f>
        <v>0.0670577452250071</v>
      </c>
      <c r="AP21" s="5" t="n">
        <f aca="false">AP20+LN(1+($G21+AP$7)*$AM21)</f>
        <v>0.06732386686735</v>
      </c>
      <c r="AQ21" s="5" t="n">
        <f aca="false">AQ20+LN(1+($G21+AQ$7)*$AM21)</f>
        <v>0.0758721078570124</v>
      </c>
      <c r="AR21" s="5" t="n">
        <f aca="false">AR20+LN(1+($G21+AR$7)*$AM21)</f>
        <v>0.0761380130193583</v>
      </c>
      <c r="AS21" s="5" t="n">
        <f aca="false">AS20+LN(1+($G21+AS$7)*$AM21)</f>
        <v>0.0759687644647007</v>
      </c>
      <c r="AT21" s="5" t="n">
        <f aca="false">AT20+LN(1+($G21+AT$7)*$AM21)</f>
        <v>0.0762346672541635</v>
      </c>
      <c r="AU21" s="5" t="n">
        <f aca="false">AU20+LN(1+($G21+AU$7)*$AM21)</f>
        <v>0.0759687438275932</v>
      </c>
      <c r="AV21" s="5" t="n">
        <f aca="false">AV20+LN(1+($G21+AV$7)*$AM21)</f>
        <v>0.0762346466175625</v>
      </c>
      <c r="AW21" s="5" t="n">
        <f aca="false">AW20+LN(1+($G21+AW$7)*$AM21)</f>
        <v>0.0759687438345147</v>
      </c>
      <c r="AX21" s="5" t="n">
        <f aca="false">AX20+LN(1+($G21+AX$7)*$AM21)</f>
        <v>0.076234646624484</v>
      </c>
      <c r="AY21" s="5" t="n">
        <f aca="false">AY20+LN(1+($G21+AY$7)*$AM21)</f>
        <v>0.0759687438345131</v>
      </c>
      <c r="AZ21" s="5" t="n">
        <f aca="false">AZ20+LN(1+($G21+AZ$7)*$AM21)</f>
        <v>0.0762346466244816</v>
      </c>
      <c r="BA21" s="5" t="n">
        <f aca="false">BA20+LN(1+($G21+BA$7)*$AM21)</f>
        <v>0.0759687438345131</v>
      </c>
      <c r="BB21" s="5" t="n">
        <f aca="false">BB20+LN(1+($G21+BB$7)*$AM21)</f>
        <v>0.0762346466244816</v>
      </c>
      <c r="BC21" s="5" t="n">
        <f aca="false">BC20+LN(1+($G21+BC$7)*$AM21)</f>
        <v>0.0759687438345131</v>
      </c>
      <c r="BD21" s="5" t="n">
        <f aca="false">BD20+LN(1+($G21+BD$7)*$AM21)</f>
        <v>0.0762346466244816</v>
      </c>
      <c r="BE21" s="5" t="n">
        <f aca="false">IF(AB21,O21,IF(D21,MIN(O21,AC21*X21+BF20),0))</f>
        <v>2805745.38508037</v>
      </c>
      <c r="BF21" s="5" t="n">
        <f aca="false">IF(OR(AB21,E21),0,BE21-AD21)</f>
        <v>0</v>
      </c>
      <c r="BG21" s="5" t="n">
        <f aca="false">BG20+LN(1+($G21+BG$7)*$AM21)</f>
        <v>0.0733093568400534</v>
      </c>
      <c r="BH21" s="5"/>
      <c r="BI21" s="5" t="n">
        <f aca="false">BI20+LN(1+($G21+BI$7)*$AM21)</f>
        <v>0.0786274780264748</v>
      </c>
      <c r="BJ21" s="5"/>
      <c r="BK21" s="62" t="n">
        <f aca="false">C21</f>
        <v>47253</v>
      </c>
      <c r="BL21" s="67" t="n">
        <f aca="false">AI21</f>
        <v>3301057.52683668</v>
      </c>
    </row>
    <row r="22" customFormat="false" ht="15" hidden="false" customHeight="true" outlineLevel="0" collapsed="false">
      <c r="A22" s="3" t="n">
        <v>12</v>
      </c>
      <c r="B22" s="38" t="n">
        <f aca="false">EDATE(Inputs!$C$8,3*(A22-1))</f>
        <v>47345</v>
      </c>
      <c r="C22" s="38" t="n">
        <f aca="false">WORKDAY(B22-1,1)</f>
        <v>47345</v>
      </c>
      <c r="D22" s="61" t="b">
        <f aca="false">C22&lt;=Inputs!$C$9</f>
        <v>1</v>
      </c>
      <c r="E22" s="61" t="b">
        <f aca="false">AND(D22,NOT(D23))</f>
        <v>0</v>
      </c>
      <c r="F22" s="63" t="n">
        <f aca="false">(C22-C21)/360</f>
        <v>0.255555555555556</v>
      </c>
      <c r="G22" s="57" t="n">
        <f aca="false">Curve!D15</f>
        <v>0.02252</v>
      </c>
      <c r="H22" s="64" t="n">
        <f aca="false">AF21</f>
        <v>83536638.6032857</v>
      </c>
      <c r="I22" s="64" t="n">
        <f aca="false">IF(D22,H22*Inputs!$G$22,0)</f>
        <v>20891.995782239</v>
      </c>
      <c r="J22" s="32" t="n">
        <f aca="false">MAX(Inputs!$G$24-(A22-1),1)</f>
        <v>34.5917704676111</v>
      </c>
      <c r="K22" s="64" t="n">
        <f aca="false">IF(D22,MIN(H22-I22,IF(J22&gt;1,(H22-I22)*Inputs!$G$23/((1+Inputs!$G$23)^J22-1),H22-I22)),0)</f>
        <v>2107621.44490425</v>
      </c>
      <c r="L22" s="64" t="n">
        <f aca="false">IF(D22,(H22-I22-K22)*Inputs!$G$21,0)</f>
        <v>876996.224157539</v>
      </c>
      <c r="M22" s="64" t="n">
        <f aca="false">IF(A22&gt;Inputs!$G$13,(1-Inputs!$G$12)*INDEX($I$11:$I$190,A22-Inputs!$G$13),0)</f>
        <v>21821.7893109969</v>
      </c>
      <c r="N22" s="64" t="n">
        <f aca="false">IF(D22,(H22-I22)*Inputs!$G$23,0)</f>
        <v>662697.44933054</v>
      </c>
      <c r="O22" s="64" t="n">
        <f aca="false">AG21</f>
        <v>76951809.8250902</v>
      </c>
      <c r="P22" s="64" t="n">
        <f aca="false">AH21</f>
        <v>6581390.33819556</v>
      </c>
      <c r="Q22" s="64" t="n">
        <f aca="false">IF(AND(D22,O22+P22&gt;0),Inputs!$C$25+Inputs!$C$26*H22/4,0)</f>
        <v>120884.159650821</v>
      </c>
      <c r="R22" s="64" t="n">
        <f aca="false">O22*IF(Inputs!$G$19="",G22+Inputs!$C$13,MAX(Inputs!$G$19,G22+Inputs!$C$13))*F22</f>
        <v>493996.418272712</v>
      </c>
      <c r="S22" s="64" t="n">
        <f aca="false">P22*(G22+Inputs!$C$14)*F22</f>
        <v>49755.3109567584</v>
      </c>
      <c r="T22" s="64" t="n">
        <f aca="false">N22+M22-Q22-R22-S22</f>
        <v>19883.3497612449</v>
      </c>
      <c r="U22" s="64" t="n">
        <f aca="false">W21</f>
        <v>0</v>
      </c>
      <c r="V22" s="64" t="n">
        <f aca="false">MIN(U22+I22,MAX(T22,0))</f>
        <v>19883.3497612449</v>
      </c>
      <c r="W22" s="64" t="n">
        <f aca="false">U22+I22-V22</f>
        <v>1008.64602099414</v>
      </c>
      <c r="X22" s="64" t="n">
        <f aca="false">K22+L22+V22+IF(E22,H22-I22-K22-L22,0)</f>
        <v>3004501.01882304</v>
      </c>
      <c r="Y22" s="61" t="b">
        <f aca="false">AND(Inputs!$C$21=1,O22/Inputs!$C$10&lt;=Inputs!$C$22,Inputs!$G$14&lt;Inputs!$C$23,W22&lt;1)</f>
        <v>0</v>
      </c>
      <c r="Z22" s="61" t="b">
        <f aca="false">OR(AND(Inputs!$G$15=1,H22/Inputs!$C$17&lt;=Inputs!$C$24),AND(Inputs!$G$15=2,C22&gt;=Inputs!$G$16))</f>
        <v>0</v>
      </c>
      <c r="AA22" s="61" t="b">
        <f aca="false">OR(AA21,Z22)</f>
        <v>0</v>
      </c>
      <c r="AB22" s="61" t="b">
        <f aca="false">AND(Z22,NOT(AA21),D22,O22&gt;0)</f>
        <v>0</v>
      </c>
      <c r="AC22" s="63" t="n">
        <f aca="false">IF(AND(Y22,NOT(E22),O22+P22&gt;0),O22/(O22+P22),1)</f>
        <v>1</v>
      </c>
      <c r="AD22" s="64" t="n">
        <f aca="false">IF(AB22,O22,IF(D22,MIN(O22,IF(E22,AC22*X22+BF21,BE22*Inputs!$G$20)),0))</f>
        <v>3004501.01882304</v>
      </c>
      <c r="AE22" s="64" t="n">
        <f aca="false">IF(AB22,P22,IF(D22,MAX(MIN(P22,X22-MIN(O22,AC22*X22)),0),0))</f>
        <v>0</v>
      </c>
      <c r="AF22" s="64" t="n">
        <f aca="false">IF(OR(AB22,E22),0,MAX(H22-I22-K22-L22,0))</f>
        <v>80531128.9384417</v>
      </c>
      <c r="AG22" s="64" t="n">
        <f aca="false">IF(E22,0,O22-AD22)</f>
        <v>73947308.8062672</v>
      </c>
      <c r="AH22" s="64" t="n">
        <f aca="false">IF(OR(AB22,E22),0,P22-AE22)</f>
        <v>6581390.33819556</v>
      </c>
      <c r="AI22" s="64" t="n">
        <f aca="false">IF(D22,R22+AD22,0)</f>
        <v>3498497.43709575</v>
      </c>
      <c r="AJ22" s="65" t="n">
        <f aca="false">(C22-Inputs!$G$6)/365</f>
        <v>2.89315068493151</v>
      </c>
      <c r="AK22" s="29" t="n">
        <f aca="false">AG22/Inputs!$C$10</f>
        <v>0.0523057887223817</v>
      </c>
      <c r="AL22" s="5"/>
      <c r="AM22" s="66" t="n">
        <f aca="false">F22</f>
        <v>0.255555555555556</v>
      </c>
      <c r="AN22" s="5"/>
      <c r="AO22" s="5" t="n">
        <f aca="false">AO21+LN(1+($G22+AO$7)*$AM22)</f>
        <v>0.0734567831961646</v>
      </c>
      <c r="AP22" s="5" t="n">
        <f aca="false">AP21+LN(1+($G22+AP$7)*$AM22)</f>
        <v>0.0737482970628136</v>
      </c>
      <c r="AQ22" s="5" t="n">
        <f aca="false">AQ21+LN(1+($G22+AQ$7)*$AM22)</f>
        <v>0.083112164684493</v>
      </c>
      <c r="AR22" s="5" t="n">
        <f aca="false">AR21+LN(1+($G22+AR$7)*$AM22)</f>
        <v>0.0834034407250541</v>
      </c>
      <c r="AS22" s="5" t="n">
        <f aca="false">AS21+LN(1+($G22+AS$7)*$AM22)</f>
        <v>0.0832180436165669</v>
      </c>
      <c r="AT22" s="5" t="n">
        <f aca="false">AT21+LN(1+($G22+AT$7)*$AM22)</f>
        <v>0.0835093170502703</v>
      </c>
      <c r="AU22" s="5" t="n">
        <f aca="false">AU21+LN(1+($G22+AU$7)*$AM22)</f>
        <v>0.0832180210104056</v>
      </c>
      <c r="AV22" s="5" t="n">
        <f aca="false">AV21+LN(1+($G22+AV$7)*$AM22)</f>
        <v>0.0835092944446654</v>
      </c>
      <c r="AW22" s="5" t="n">
        <f aca="false">AW21+LN(1+($G22+AW$7)*$AM22)</f>
        <v>0.0832180210179873</v>
      </c>
      <c r="AX22" s="5" t="n">
        <f aca="false">AX21+LN(1+($G22+AX$7)*$AM22)</f>
        <v>0.0835092944522473</v>
      </c>
      <c r="AY22" s="5" t="n">
        <f aca="false">AY21+LN(1+($G22+AY$7)*$AM22)</f>
        <v>0.0832180210179857</v>
      </c>
      <c r="AZ22" s="5" t="n">
        <f aca="false">AZ21+LN(1+($G22+AZ$7)*$AM22)</f>
        <v>0.0835092944522447</v>
      </c>
      <c r="BA22" s="5" t="n">
        <f aca="false">BA21+LN(1+($G22+BA$7)*$AM22)</f>
        <v>0.0832180210179857</v>
      </c>
      <c r="BB22" s="5" t="n">
        <f aca="false">BB21+LN(1+($G22+BB$7)*$AM22)</f>
        <v>0.0835092944522447</v>
      </c>
      <c r="BC22" s="5" t="n">
        <f aca="false">BC21+LN(1+($G22+BC$7)*$AM22)</f>
        <v>0.0832180210179857</v>
      </c>
      <c r="BD22" s="5" t="n">
        <f aca="false">BD21+LN(1+($G22+BD$7)*$AM22)</f>
        <v>0.0835092944522447</v>
      </c>
      <c r="BE22" s="5" t="n">
        <f aca="false">IF(AB22,O22,IF(D22,MIN(O22,AC22*X22+BF21),0))</f>
        <v>3004501.01882304</v>
      </c>
      <c r="BF22" s="5" t="n">
        <f aca="false">IF(OR(AB22,E22),0,BE22-AD22)</f>
        <v>0</v>
      </c>
      <c r="BG22" s="5" t="n">
        <f aca="false">BG21+LN(1+($G22+BG$7)*$AM22)</f>
        <v>0.0803048921725042</v>
      </c>
      <c r="BH22" s="5"/>
      <c r="BI22" s="5" t="n">
        <f aca="false">BI21+LN(1+($G22+BI$7)*$AM22)</f>
        <v>0.0861304326923747</v>
      </c>
      <c r="BJ22" s="5"/>
      <c r="BK22" s="62" t="n">
        <f aca="false">C22</f>
        <v>47345</v>
      </c>
      <c r="BL22" s="67" t="n">
        <f aca="false">AI22</f>
        <v>3498497.43709575</v>
      </c>
    </row>
    <row r="23" customFormat="false" ht="15" hidden="false" customHeight="true" outlineLevel="0" collapsed="false">
      <c r="A23" s="3" t="n">
        <v>13</v>
      </c>
      <c r="B23" s="38" t="n">
        <f aca="false">EDATE(Inputs!$C$8,3*(A23-1))</f>
        <v>47437</v>
      </c>
      <c r="C23" s="38" t="n">
        <f aca="false">WORKDAY(B23-1,1)</f>
        <v>47437</v>
      </c>
      <c r="D23" s="61" t="b">
        <f aca="false">C23&lt;=Inputs!$C$9</f>
        <v>1</v>
      </c>
      <c r="E23" s="61" t="b">
        <f aca="false">AND(D23,NOT(D24))</f>
        <v>0</v>
      </c>
      <c r="F23" s="63" t="n">
        <f aca="false">(C23-C22)/360</f>
        <v>0.255555555555556</v>
      </c>
      <c r="G23" s="57" t="n">
        <f aca="false">Curve!D16</f>
        <v>0.02252</v>
      </c>
      <c r="H23" s="64" t="n">
        <f aca="false">AF22</f>
        <v>80531128.9384417</v>
      </c>
      <c r="I23" s="64" t="n">
        <f aca="false">IF(D23,H23*Inputs!$G$22,0)</f>
        <v>20140.3364350202</v>
      </c>
      <c r="J23" s="32" t="n">
        <f aca="false">MAX(Inputs!$G$24-(A23-1),1)</f>
        <v>33.5917704676111</v>
      </c>
      <c r="K23" s="64" t="n">
        <f aca="false">IF(D23,MIN(H23-I23,IF(J23&gt;1,(H23-I23)*Inputs!$G$23/((1+Inputs!$G$23)^J23-1),H23-I23)),0)</f>
        <v>2100934.63816845</v>
      </c>
      <c r="L23" s="64" t="n">
        <f aca="false">IF(D23,(H23-I23-K23)*Inputs!$G$21,0)</f>
        <v>844698.500609462</v>
      </c>
      <c r="M23" s="64" t="n">
        <f aca="false">IF(A23&gt;Inputs!$G$13,(1-Inputs!$G$12)*INDEX($I$11:$I$190,A23-Inputs!$G$13),0)</f>
        <v>21153.4279792136</v>
      </c>
      <c r="N23" s="64" t="n">
        <f aca="false">IF(D23,(H23-I23)*Inputs!$G$23,0)</f>
        <v>638854.694556923</v>
      </c>
      <c r="O23" s="64" t="n">
        <f aca="false">AG22</f>
        <v>73947308.8062672</v>
      </c>
      <c r="P23" s="64" t="n">
        <f aca="false">AH22</f>
        <v>6581390.33819556</v>
      </c>
      <c r="Q23" s="64" t="n">
        <f aca="false">IF(AND(D23,O23+P23&gt;0),Inputs!$C$25+Inputs!$C$26*H23/4,0)</f>
        <v>120132.78223461</v>
      </c>
      <c r="R23" s="64" t="n">
        <f aca="false">O23*IF(Inputs!$G$19="",G23+Inputs!$C$13,MAX(Inputs!$G$19,G23+Inputs!$C$13))*F23</f>
        <v>474708.857065655</v>
      </c>
      <c r="S23" s="64" t="n">
        <f aca="false">P23*(G23+Inputs!$C$14)*F23</f>
        <v>49755.3109567584</v>
      </c>
      <c r="T23" s="64" t="n">
        <f aca="false">N23+M23-Q23-R23-S23</f>
        <v>15411.1722791132</v>
      </c>
      <c r="U23" s="64" t="n">
        <f aca="false">W22</f>
        <v>1008.64602099414</v>
      </c>
      <c r="V23" s="64" t="n">
        <f aca="false">MIN(U23+I23,MAX(T23,0))</f>
        <v>15411.1722791132</v>
      </c>
      <c r="W23" s="64" t="n">
        <f aca="false">U23+I23-V23</f>
        <v>5737.81017690109</v>
      </c>
      <c r="X23" s="64" t="n">
        <f aca="false">K23+L23+V23+IF(E23,H23-I23-K23-L23,0)</f>
        <v>2961044.31105702</v>
      </c>
      <c r="Y23" s="61" t="b">
        <f aca="false">AND(Inputs!$C$21=1,O23/Inputs!$C$10&lt;=Inputs!$C$22,Inputs!$G$14&lt;Inputs!$C$23,W23&lt;1)</f>
        <v>0</v>
      </c>
      <c r="Z23" s="61" t="b">
        <f aca="false">OR(AND(Inputs!$G$15=1,H23/Inputs!$C$17&lt;=Inputs!$C$24),AND(Inputs!$G$15=2,C23&gt;=Inputs!$G$16))</f>
        <v>0</v>
      </c>
      <c r="AA23" s="61" t="b">
        <f aca="false">OR(AA22,Z23)</f>
        <v>0</v>
      </c>
      <c r="AB23" s="61" t="b">
        <f aca="false">AND(Z23,NOT(AA22),D23,O23&gt;0)</f>
        <v>0</v>
      </c>
      <c r="AC23" s="63" t="n">
        <f aca="false">IF(AND(Y23,NOT(E23),O23+P23&gt;0),O23/(O23+P23),1)</f>
        <v>1</v>
      </c>
      <c r="AD23" s="64" t="n">
        <f aca="false">IF(AB23,O23,IF(D23,MIN(O23,IF(E23,AC23*X23+BF22,BE23*Inputs!$G$20)),0))</f>
        <v>2961044.31105702</v>
      </c>
      <c r="AE23" s="64" t="n">
        <f aca="false">IF(AB23,P23,IF(D23,MAX(MIN(P23,X23-MIN(O23,AC23*X23)),0),0))</f>
        <v>0</v>
      </c>
      <c r="AF23" s="64" t="n">
        <f aca="false">IF(OR(AB23,E23),0,MAX(H23-I23-K23-L23,0))</f>
        <v>77565355.4632288</v>
      </c>
      <c r="AG23" s="64" t="n">
        <f aca="false">IF(E23,0,O23-AD23)</f>
        <v>70986264.4952102</v>
      </c>
      <c r="AH23" s="64" t="n">
        <f aca="false">IF(OR(AB23,E23),0,P23-AE23)</f>
        <v>6581390.33819556</v>
      </c>
      <c r="AI23" s="64" t="n">
        <f aca="false">IF(D23,R23+AD23,0)</f>
        <v>3435753.16812268</v>
      </c>
      <c r="AJ23" s="65" t="n">
        <f aca="false">(C23-Inputs!$G$6)/365</f>
        <v>3.14520547945205</v>
      </c>
      <c r="AK23" s="29" t="n">
        <f aca="false">AG23/Inputs!$C$10</f>
        <v>0.0502113276712362</v>
      </c>
      <c r="AL23" s="5"/>
      <c r="AM23" s="66" t="n">
        <f aca="false">F23</f>
        <v>0.255555555555556</v>
      </c>
      <c r="AN23" s="5"/>
      <c r="AO23" s="5" t="n">
        <f aca="false">AO22+LN(1+($G23+AO$7)*$AM23)</f>
        <v>0.0798558211673222</v>
      </c>
      <c r="AP23" s="5" t="n">
        <f aca="false">AP22+LN(1+($G23+AP$7)*$AM23)</f>
        <v>0.0801727272582772</v>
      </c>
      <c r="AQ23" s="5" t="n">
        <f aca="false">AQ22+LN(1+($G23+AQ$7)*$AM23)</f>
        <v>0.0903522215119736</v>
      </c>
      <c r="AR23" s="5" t="n">
        <f aca="false">AR22+LN(1+($G23+AR$7)*$AM23)</f>
        <v>0.0906688684307499</v>
      </c>
      <c r="AS23" s="5" t="n">
        <f aca="false">AS22+LN(1+($G23+AS$7)*$AM23)</f>
        <v>0.0904673227684331</v>
      </c>
      <c r="AT23" s="5" t="n">
        <f aca="false">AT22+LN(1+($G23+AT$7)*$AM23)</f>
        <v>0.0907839668463771</v>
      </c>
      <c r="AU23" s="5" t="n">
        <f aca="false">AU22+LN(1+($G23+AU$7)*$AM23)</f>
        <v>0.090467298193218</v>
      </c>
      <c r="AV23" s="5" t="n">
        <f aca="false">AV22+LN(1+($G23+AV$7)*$AM23)</f>
        <v>0.0907839422717683</v>
      </c>
      <c r="AW23" s="5" t="n">
        <f aca="false">AW22+LN(1+($G23+AW$7)*$AM23)</f>
        <v>0.0904672982014599</v>
      </c>
      <c r="AX23" s="5" t="n">
        <f aca="false">AX22+LN(1+($G23+AX$7)*$AM23)</f>
        <v>0.0907839422800107</v>
      </c>
      <c r="AY23" s="5" t="n">
        <f aca="false">AY22+LN(1+($G23+AY$7)*$AM23)</f>
        <v>0.0904672982014584</v>
      </c>
      <c r="AZ23" s="5" t="n">
        <f aca="false">AZ22+LN(1+($G23+AZ$7)*$AM23)</f>
        <v>0.0907839422800078</v>
      </c>
      <c r="BA23" s="5" t="n">
        <f aca="false">BA22+LN(1+($G23+BA$7)*$AM23)</f>
        <v>0.0904672982014584</v>
      </c>
      <c r="BB23" s="5" t="n">
        <f aca="false">BB22+LN(1+($G23+BB$7)*$AM23)</f>
        <v>0.0907839422800078</v>
      </c>
      <c r="BC23" s="5" t="n">
        <f aca="false">BC22+LN(1+($G23+BC$7)*$AM23)</f>
        <v>0.0904672982014584</v>
      </c>
      <c r="BD23" s="5" t="n">
        <f aca="false">BD22+LN(1+($G23+BD$7)*$AM23)</f>
        <v>0.0907839422800078</v>
      </c>
      <c r="BE23" s="5" t="n">
        <f aca="false">IF(AB23,O23,IF(D23,MIN(O23,AC23*X23+BF22),0))</f>
        <v>2961044.31105702</v>
      </c>
      <c r="BF23" s="5" t="n">
        <f aca="false">IF(OR(AB23,E23),0,BE23-AD23)</f>
        <v>0</v>
      </c>
      <c r="BG23" s="5" t="n">
        <f aca="false">BG22+LN(1+($G23+BG$7)*$AM23)</f>
        <v>0.0873004275049549</v>
      </c>
      <c r="BH23" s="5"/>
      <c r="BI23" s="5" t="n">
        <f aca="false">BI22+LN(1+($G23+BI$7)*$AM23)</f>
        <v>0.0936333873582747</v>
      </c>
      <c r="BJ23" s="5"/>
      <c r="BK23" s="62" t="n">
        <f aca="false">C23</f>
        <v>47437</v>
      </c>
      <c r="BL23" s="67" t="n">
        <f aca="false">AI23</f>
        <v>3435753.16812268</v>
      </c>
    </row>
    <row r="24" customFormat="false" ht="15" hidden="false" customHeight="true" outlineLevel="0" collapsed="false">
      <c r="A24" s="3" t="n">
        <v>14</v>
      </c>
      <c r="B24" s="38" t="n">
        <f aca="false">EDATE(Inputs!$C$8,3*(A24-1))</f>
        <v>47529</v>
      </c>
      <c r="C24" s="38" t="n">
        <f aca="false">WORKDAY(B24-1,1)</f>
        <v>47529</v>
      </c>
      <c r="D24" s="61" t="b">
        <f aca="false">C24&lt;=Inputs!$C$9</f>
        <v>1</v>
      </c>
      <c r="E24" s="61" t="b">
        <f aca="false">AND(D24,NOT(D25))</f>
        <v>0</v>
      </c>
      <c r="F24" s="63" t="n">
        <f aca="false">(C24-C23)/360</f>
        <v>0.255555555555556</v>
      </c>
      <c r="G24" s="57" t="n">
        <f aca="false">Curve!D17</f>
        <v>0.02252</v>
      </c>
      <c r="H24" s="64" t="n">
        <f aca="false">AF23</f>
        <v>77565355.4632288</v>
      </c>
      <c r="I24" s="64" t="n">
        <f aca="false">IF(D24,H24*Inputs!$G$22,0)</f>
        <v>19398.6148626515</v>
      </c>
      <c r="J24" s="32" t="n">
        <f aca="false">MAX(Inputs!$G$24-(A24-1),1)</f>
        <v>32.5917704676111</v>
      </c>
      <c r="K24" s="64" t="n">
        <f aca="false">IF(D24,MIN(H24-I24,IF(J24&gt;1,(H24-I24)*Inputs!$G$23/((1+Inputs!$G$23)^J24-1),H24-I24)),0)</f>
        <v>2094269.04652534</v>
      </c>
      <c r="L24" s="64" t="n">
        <f aca="false">IF(D24,(H24-I24-K24)*Inputs!$G$21,0)</f>
        <v>812828.5128341</v>
      </c>
      <c r="M24" s="64" t="n">
        <f aca="false">IF(A24&gt;Inputs!$G$13,(1-Inputs!$G$12)*INDEX($I$11:$I$190,A24-Inputs!$G$13),0)</f>
        <v>20493.7896718154</v>
      </c>
      <c r="N24" s="64" t="n">
        <f aca="false">IF(D24,(H24-I24)*Inputs!$G$23,0)</f>
        <v>615327.167591785</v>
      </c>
      <c r="O24" s="64" t="n">
        <f aca="false">AG23</f>
        <v>70986264.4952102</v>
      </c>
      <c r="P24" s="64" t="n">
        <f aca="false">AH23</f>
        <v>6581390.33819556</v>
      </c>
      <c r="Q24" s="64" t="n">
        <f aca="false">IF(AND(D24,O24+P24&gt;0),Inputs!$C$25+Inputs!$C$26*H24/4,0)</f>
        <v>119391.338865807</v>
      </c>
      <c r="R24" s="64" t="n">
        <f aca="false">O24*IF(Inputs!$G$19="",G24+Inputs!$C$13,MAX(Inputs!$G$19,G24+Inputs!$C$13))*F24</f>
        <v>455700.268608362</v>
      </c>
      <c r="S24" s="64" t="n">
        <f aca="false">P24*(G24+Inputs!$C$14)*F24</f>
        <v>49755.3109567584</v>
      </c>
      <c r="T24" s="64" t="n">
        <f aca="false">N24+M24-Q24-R24-S24</f>
        <v>10974.0388326726</v>
      </c>
      <c r="U24" s="64" t="n">
        <f aca="false">W23</f>
        <v>5737.81017690109</v>
      </c>
      <c r="V24" s="64" t="n">
        <f aca="false">MIN(U24+I24,MAX(T24,0))</f>
        <v>10974.0388326726</v>
      </c>
      <c r="W24" s="64" t="n">
        <f aca="false">U24+I24-V24</f>
        <v>14162.38620688</v>
      </c>
      <c r="X24" s="64" t="n">
        <f aca="false">K24+L24+V24+IF(E24,H24-I24-K24-L24,0)</f>
        <v>2918071.59819211</v>
      </c>
      <c r="Y24" s="61" t="b">
        <f aca="false">AND(Inputs!$C$21=1,O24/Inputs!$C$10&lt;=Inputs!$C$22,Inputs!$G$14&lt;Inputs!$C$23,W24&lt;1)</f>
        <v>0</v>
      </c>
      <c r="Z24" s="61" t="b">
        <f aca="false">OR(AND(Inputs!$G$15=1,H24/Inputs!$C$17&lt;=Inputs!$C$24),AND(Inputs!$G$15=2,C24&gt;=Inputs!$G$16))</f>
        <v>0</v>
      </c>
      <c r="AA24" s="61" t="b">
        <f aca="false">OR(AA23,Z24)</f>
        <v>0</v>
      </c>
      <c r="AB24" s="61" t="b">
        <f aca="false">AND(Z24,NOT(AA23),D24,O24&gt;0)</f>
        <v>0</v>
      </c>
      <c r="AC24" s="63" t="n">
        <f aca="false">IF(AND(Y24,NOT(E24),O24+P24&gt;0),O24/(O24+P24),1)</f>
        <v>1</v>
      </c>
      <c r="AD24" s="64" t="n">
        <f aca="false">IF(AB24,O24,IF(D24,MIN(O24,IF(E24,AC24*X24+BF23,BE24*Inputs!$G$20)),0))</f>
        <v>2918071.59819211</v>
      </c>
      <c r="AE24" s="64" t="n">
        <f aca="false">IF(AB24,P24,IF(D24,MAX(MIN(P24,X24-MIN(O24,AC24*X24)),0),0))</f>
        <v>0</v>
      </c>
      <c r="AF24" s="64" t="n">
        <f aca="false">IF(OR(AB24,E24),0,MAX(H24-I24-K24-L24,0))</f>
        <v>74638859.2890067</v>
      </c>
      <c r="AG24" s="64" t="n">
        <f aca="false">IF(E24,0,O24-AD24)</f>
        <v>68068192.8970181</v>
      </c>
      <c r="AH24" s="64" t="n">
        <f aca="false">IF(OR(AB24,E24),0,P24-AE24)</f>
        <v>6581390.33819556</v>
      </c>
      <c r="AI24" s="64" t="n">
        <f aca="false">IF(D24,R24+AD24,0)</f>
        <v>3373771.86680047</v>
      </c>
      <c r="AJ24" s="65" t="n">
        <f aca="false">(C24-Inputs!$G$6)/365</f>
        <v>3.3972602739726</v>
      </c>
      <c r="AK24" s="29" t="n">
        <f aca="false">AG24/Inputs!$C$10</f>
        <v>0.0481472628802957</v>
      </c>
      <c r="AL24" s="5"/>
      <c r="AM24" s="66" t="n">
        <f aca="false">F24</f>
        <v>0.255555555555556</v>
      </c>
      <c r="AN24" s="5"/>
      <c r="AO24" s="5" t="n">
        <f aca="false">AO23+LN(1+($G24+AO$7)*$AM24)</f>
        <v>0.0862548591384797</v>
      </c>
      <c r="AP24" s="5" t="n">
        <f aca="false">AP23+LN(1+($G24+AP$7)*$AM24)</f>
        <v>0.0865971574537408</v>
      </c>
      <c r="AQ24" s="5" t="n">
        <f aca="false">AQ23+LN(1+($G24+AQ$7)*$AM24)</f>
        <v>0.0975922783394542</v>
      </c>
      <c r="AR24" s="5" t="n">
        <f aca="false">AR23+LN(1+($G24+AR$7)*$AM24)</f>
        <v>0.0979342961364457</v>
      </c>
      <c r="AS24" s="5" t="n">
        <f aca="false">AS23+LN(1+($G24+AS$7)*$AM24)</f>
        <v>0.0977166019202993</v>
      </c>
      <c r="AT24" s="5" t="n">
        <f aca="false">AT23+LN(1+($G24+AT$7)*$AM24)</f>
        <v>0.0980586166424839</v>
      </c>
      <c r="AU24" s="5" t="n">
        <f aca="false">AU23+LN(1+($G24+AU$7)*$AM24)</f>
        <v>0.0977165753760304</v>
      </c>
      <c r="AV24" s="5" t="n">
        <f aca="false">AV23+LN(1+($G24+AV$7)*$AM24)</f>
        <v>0.0980585900988713</v>
      </c>
      <c r="AW24" s="5" t="n">
        <f aca="false">AW23+LN(1+($G24+AW$7)*$AM24)</f>
        <v>0.0977165753849325</v>
      </c>
      <c r="AX24" s="5" t="n">
        <f aca="false">AX23+LN(1+($G24+AX$7)*$AM24)</f>
        <v>0.098058590107774</v>
      </c>
      <c r="AY24" s="5" t="n">
        <f aca="false">AY23+LN(1+($G24+AY$7)*$AM24)</f>
        <v>0.097716575384931</v>
      </c>
      <c r="AZ24" s="5" t="n">
        <f aca="false">AZ23+LN(1+($G24+AZ$7)*$AM24)</f>
        <v>0.098058590107771</v>
      </c>
      <c r="BA24" s="5" t="n">
        <f aca="false">BA23+LN(1+($G24+BA$7)*$AM24)</f>
        <v>0.097716575384931</v>
      </c>
      <c r="BB24" s="5" t="n">
        <f aca="false">BB23+LN(1+($G24+BB$7)*$AM24)</f>
        <v>0.098058590107771</v>
      </c>
      <c r="BC24" s="5" t="n">
        <f aca="false">BC23+LN(1+($G24+BC$7)*$AM24)</f>
        <v>0.097716575384931</v>
      </c>
      <c r="BD24" s="5" t="n">
        <f aca="false">BD23+LN(1+($G24+BD$7)*$AM24)</f>
        <v>0.098058590107771</v>
      </c>
      <c r="BE24" s="5" t="n">
        <f aca="false">IF(AB24,O24,IF(D24,MIN(O24,AC24*X24+BF23),0))</f>
        <v>2918071.59819211</v>
      </c>
      <c r="BF24" s="5" t="n">
        <f aca="false">IF(OR(AB24,E24),0,BE24-AD24)</f>
        <v>0</v>
      </c>
      <c r="BG24" s="5" t="n">
        <f aca="false">BG23+LN(1+($G24+BG$7)*$AM24)</f>
        <v>0.0942959628374056</v>
      </c>
      <c r="BH24" s="5"/>
      <c r="BI24" s="5" t="n">
        <f aca="false">BI23+LN(1+($G24+BI$7)*$AM24)</f>
        <v>0.101136342024175</v>
      </c>
      <c r="BJ24" s="5"/>
      <c r="BK24" s="62" t="n">
        <f aca="false">C24</f>
        <v>47529</v>
      </c>
      <c r="BL24" s="67" t="n">
        <f aca="false">AI24</f>
        <v>3373771.86680047</v>
      </c>
    </row>
    <row r="25" customFormat="false" ht="15" hidden="false" customHeight="true" outlineLevel="0" collapsed="false">
      <c r="A25" s="3" t="n">
        <v>15</v>
      </c>
      <c r="B25" s="38" t="n">
        <f aca="false">EDATE(Inputs!$C$8,3*(A25-1))</f>
        <v>47618</v>
      </c>
      <c r="C25" s="38" t="n">
        <f aca="false">WORKDAY(B25-1,1)</f>
        <v>47618</v>
      </c>
      <c r="D25" s="61" t="b">
        <f aca="false">C25&lt;=Inputs!$C$9</f>
        <v>1</v>
      </c>
      <c r="E25" s="61" t="b">
        <f aca="false">AND(D25,NOT(D26))</f>
        <v>0</v>
      </c>
      <c r="F25" s="63" t="n">
        <f aca="false">(C25-C24)/360</f>
        <v>0.247222222222222</v>
      </c>
      <c r="G25" s="57" t="n">
        <f aca="false">Curve!D18</f>
        <v>0.02252</v>
      </c>
      <c r="H25" s="64" t="n">
        <f aca="false">AF24</f>
        <v>74638859.2890067</v>
      </c>
      <c r="I25" s="64" t="n">
        <f aca="false">IF(D25,H25*Inputs!$G$22,0)</f>
        <v>18666.7162999269</v>
      </c>
      <c r="J25" s="32" t="n">
        <f aca="false">MAX(Inputs!$G$24-(A25-1),1)</f>
        <v>31.5917704676111</v>
      </c>
      <c r="K25" s="64" t="n">
        <f aca="false">IF(D25,MIN(H25-I25,IF(J25&gt;1,(H25-I25)*Inputs!$G$23/((1+Inputs!$G$23)^J25-1),H25-I25)),0)</f>
        <v>2087624.60266624</v>
      </c>
      <c r="L25" s="64" t="n">
        <f aca="false">IF(D25,(H25-I25-K25)*Inputs!$G$21,0)</f>
        <v>781381.319261727</v>
      </c>
      <c r="M25" s="64" t="n">
        <f aca="false">IF(A25&gt;Inputs!$G$13,(1-Inputs!$G$12)*INDEX($I$11:$I$190,A25-Inputs!$G$13),0)</f>
        <v>19842.7739520396</v>
      </c>
      <c r="N25" s="64" t="n">
        <f aca="false">IF(D25,(H25-I25)*Inputs!$G$23,0)</f>
        <v>592111.228064428</v>
      </c>
      <c r="O25" s="64" t="n">
        <f aca="false">AG24</f>
        <v>68068192.8970181</v>
      </c>
      <c r="P25" s="64" t="n">
        <f aca="false">AH24</f>
        <v>6581390.33819556</v>
      </c>
      <c r="Q25" s="64" t="n">
        <f aca="false">IF(AND(D25,O25+P25&gt;0),Inputs!$C$25+Inputs!$C$26*H25/4,0)</f>
        <v>118659.714822252</v>
      </c>
      <c r="R25" s="64" t="n">
        <f aca="false">O25*IF(Inputs!$G$19="",G25+Inputs!$C$13,MAX(Inputs!$G$19,G25+Inputs!$C$13))*F25</f>
        <v>422718.60415557</v>
      </c>
      <c r="S25" s="64" t="n">
        <f aca="false">P25*(G25+Inputs!$C$14)*F25</f>
        <v>48132.8551646902</v>
      </c>
      <c r="T25" s="64" t="n">
        <f aca="false">N25+M25-Q25-R25-S25</f>
        <v>22442.8278739555</v>
      </c>
      <c r="U25" s="64" t="n">
        <f aca="false">W24</f>
        <v>14162.38620688</v>
      </c>
      <c r="V25" s="64" t="n">
        <f aca="false">MIN(U25+I25,MAX(T25,0))</f>
        <v>22442.8278739555</v>
      </c>
      <c r="W25" s="64" t="n">
        <f aca="false">U25+I25-V25</f>
        <v>10386.2746328514</v>
      </c>
      <c r="X25" s="64" t="n">
        <f aca="false">K25+L25+V25+IF(E25,H25-I25-K25-L25,0)</f>
        <v>2891448.74980192</v>
      </c>
      <c r="Y25" s="61" t="b">
        <f aca="false">AND(Inputs!$C$21=1,O25/Inputs!$C$10&lt;=Inputs!$C$22,Inputs!$G$14&lt;Inputs!$C$23,W25&lt;1)</f>
        <v>0</v>
      </c>
      <c r="Z25" s="61" t="b">
        <f aca="false">OR(AND(Inputs!$G$15=1,H25/Inputs!$C$17&lt;=Inputs!$C$24),AND(Inputs!$G$15=2,C25&gt;=Inputs!$G$16))</f>
        <v>0</v>
      </c>
      <c r="AA25" s="61" t="b">
        <f aca="false">OR(AA24,Z25)</f>
        <v>0</v>
      </c>
      <c r="AB25" s="61" t="b">
        <f aca="false">AND(Z25,NOT(AA24),D25,O25&gt;0)</f>
        <v>0</v>
      </c>
      <c r="AC25" s="63" t="n">
        <f aca="false">IF(AND(Y25,NOT(E25),O25+P25&gt;0),O25/(O25+P25),1)</f>
        <v>1</v>
      </c>
      <c r="AD25" s="64" t="n">
        <f aca="false">IF(AB25,O25,IF(D25,MIN(O25,IF(E25,AC25*X25+BF24,BE25*Inputs!$G$20)),0))</f>
        <v>2891448.74980192</v>
      </c>
      <c r="AE25" s="64" t="n">
        <f aca="false">IF(AB25,P25,IF(D25,MAX(MIN(P25,X25-MIN(O25,AC25*X25)),0),0))</f>
        <v>0</v>
      </c>
      <c r="AF25" s="64" t="n">
        <f aca="false">IF(OR(AB25,E25),0,MAX(H25-I25-K25-L25,0))</f>
        <v>71751186.6507788</v>
      </c>
      <c r="AG25" s="64" t="n">
        <f aca="false">IF(E25,0,O25-AD25)</f>
        <v>65176744.1472161</v>
      </c>
      <c r="AH25" s="64" t="n">
        <f aca="false">IF(OR(AB25,E25),0,P25-AE25)</f>
        <v>6581390.33819556</v>
      </c>
      <c r="AI25" s="64" t="n">
        <f aca="false">IF(D25,R25+AD25,0)</f>
        <v>3314167.35395749</v>
      </c>
      <c r="AJ25" s="65" t="n">
        <f aca="false">(C25-Inputs!$G$6)/365</f>
        <v>3.64109589041096</v>
      </c>
      <c r="AK25" s="29" t="n">
        <f aca="false">AG25/Inputs!$C$10</f>
        <v>0.0461020294586851</v>
      </c>
      <c r="AL25" s="5"/>
      <c r="AM25" s="66" t="n">
        <f aca="false">F25</f>
        <v>0.247222222222222</v>
      </c>
      <c r="AN25" s="5"/>
      <c r="AO25" s="5" t="n">
        <f aca="false">AO24+LN(1+($G25+AO$7)*$AM25)</f>
        <v>0.0924458773969216</v>
      </c>
      <c r="AP25" s="5" t="n">
        <f aca="false">AP24+LN(1+($G25+AP$7)*$AM25)</f>
        <v>0.0928127450496563</v>
      </c>
      <c r="AQ25" s="5" t="n">
        <f aca="false">AQ24+LN(1+($G25+AQ$7)*$AM25)</f>
        <v>0.104597071274323</v>
      </c>
      <c r="AR25" s="5" t="n">
        <f aca="false">AR24+LN(1+($G25+AR$7)*$AM25)</f>
        <v>0.104963638423262</v>
      </c>
      <c r="AS25" s="5" t="n">
        <f aca="false">AS24+LN(1+($G25+AS$7)*$AM25)</f>
        <v>0.104730318552094</v>
      </c>
      <c r="AT25" s="5" t="n">
        <f aca="false">AT24+LN(1+($G25+AT$7)*$AM25)</f>
        <v>0.105096882407158</v>
      </c>
      <c r="AU25" s="5" t="n">
        <f aca="false">AU24+LN(1+($G25+AU$7)*$AM25)</f>
        <v>0.10473029010253</v>
      </c>
      <c r="AV25" s="5" t="n">
        <f aca="false">AV24+LN(1+($G25+AV$7)*$AM25)</f>
        <v>0.105096853958298</v>
      </c>
      <c r="AW25" s="5" t="n">
        <f aca="false">AW24+LN(1+($G25+AW$7)*$AM25)</f>
        <v>0.104730290112072</v>
      </c>
      <c r="AX25" s="5" t="n">
        <f aca="false">AX24+LN(1+($G25+AX$7)*$AM25)</f>
        <v>0.10509685396784</v>
      </c>
      <c r="AY25" s="5" t="n">
        <f aca="false">AY24+LN(1+($G25+AY$7)*$AM25)</f>
        <v>0.10473029011207</v>
      </c>
      <c r="AZ25" s="5" t="n">
        <f aca="false">AZ24+LN(1+($G25+AZ$7)*$AM25)</f>
        <v>0.105096853967837</v>
      </c>
      <c r="BA25" s="5" t="n">
        <f aca="false">BA24+LN(1+($G25+BA$7)*$AM25)</f>
        <v>0.10473029011207</v>
      </c>
      <c r="BB25" s="5" t="n">
        <f aca="false">BB24+LN(1+($G25+BB$7)*$AM25)</f>
        <v>0.105096853967837</v>
      </c>
      <c r="BC25" s="5" t="n">
        <f aca="false">BC24+LN(1+($G25+BC$7)*$AM25)</f>
        <v>0.10473029011207</v>
      </c>
      <c r="BD25" s="5" t="n">
        <f aca="false">BD24+LN(1+($G25+BD$7)*$AM25)</f>
        <v>0.105096853967837</v>
      </c>
      <c r="BE25" s="5" t="n">
        <f aca="false">IF(AB25,O25,IF(D25,MIN(O25,AC25*X25+BF24),0))</f>
        <v>2891448.74980192</v>
      </c>
      <c r="BF25" s="5" t="n">
        <f aca="false">IF(OR(AB25,E25),0,BE25-AD25)</f>
        <v>0</v>
      </c>
      <c r="BG25" s="5" t="n">
        <f aca="false">BG24+LN(1+($G25+BG$7)*$AM25)</f>
        <v>0.101064153083284</v>
      </c>
      <c r="BH25" s="5"/>
      <c r="BI25" s="5" t="n">
        <f aca="false">BI24+LN(1+($G25+BI$7)*$AM25)</f>
        <v>0.1083955209651</v>
      </c>
      <c r="BJ25" s="5"/>
      <c r="BK25" s="62" t="n">
        <f aca="false">C25</f>
        <v>47618</v>
      </c>
      <c r="BL25" s="67" t="n">
        <f aca="false">AI25</f>
        <v>3314167.35395749</v>
      </c>
    </row>
    <row r="26" customFormat="false" ht="15" hidden="false" customHeight="true" outlineLevel="0" collapsed="false">
      <c r="A26" s="3" t="n">
        <v>16</v>
      </c>
      <c r="B26" s="38" t="n">
        <f aca="false">EDATE(Inputs!$C$8,3*(A26-1))</f>
        <v>47710</v>
      </c>
      <c r="C26" s="38" t="n">
        <f aca="false">WORKDAY(B26-1,1)</f>
        <v>47710</v>
      </c>
      <c r="D26" s="61" t="b">
        <f aca="false">C26&lt;=Inputs!$C$9</f>
        <v>1</v>
      </c>
      <c r="E26" s="61" t="b">
        <f aca="false">AND(D26,NOT(D27))</f>
        <v>0</v>
      </c>
      <c r="F26" s="63" t="n">
        <f aca="false">(C26-C25)/360</f>
        <v>0.255555555555556</v>
      </c>
      <c r="G26" s="57" t="n">
        <f aca="false">Curve!D19</f>
        <v>0.02252</v>
      </c>
      <c r="H26" s="64" t="n">
        <f aca="false">AF25</f>
        <v>71751186.6507788</v>
      </c>
      <c r="I26" s="64" t="n">
        <f aca="false">IF(D26,H26*Inputs!$G$22,0)</f>
        <v>17944.527263032</v>
      </c>
      <c r="J26" s="32" t="n">
        <f aca="false">MAX(Inputs!$G$24-(A26-1),1)</f>
        <v>30.5917704676111</v>
      </c>
      <c r="K26" s="64" t="n">
        <f aca="false">IF(D26,MIN(H26-I26,IF(J26&gt;1,(H26-I26)*Inputs!$G$23/((1+Inputs!$G$23)^J26-1),H26-I26)),0)</f>
        <v>2081001.23949602</v>
      </c>
      <c r="L26" s="64" t="n">
        <f aca="false">IF(D26,(H26-I26-K26)*Inputs!$G$21,0)</f>
        <v>750352.033502675</v>
      </c>
      <c r="M26" s="64" t="n">
        <f aca="false">IF(A26&gt;Inputs!$G$13,(1-Inputs!$G$12)*INDEX($I$11:$I$190,A26-Inputs!$G$13),0)</f>
        <v>19200.2815036251</v>
      </c>
      <c r="N26" s="64" t="n">
        <f aca="false">IF(D26,(H26-I26)*Inputs!$G$23,0)</f>
        <v>569203.276250097</v>
      </c>
      <c r="O26" s="64" t="n">
        <f aca="false">AG25</f>
        <v>65176744.1472161</v>
      </c>
      <c r="P26" s="64" t="n">
        <f aca="false">AH25</f>
        <v>6581390.33819556</v>
      </c>
      <c r="Q26" s="64" t="n">
        <f aca="false">IF(AND(D26,O26+P26&gt;0),Inputs!$C$25+Inputs!$C$26*H26/4,0)</f>
        <v>117937.796662695</v>
      </c>
      <c r="R26" s="64" t="n">
        <f aca="false">O26*IF(Inputs!$G$19="",G26+Inputs!$C$13,MAX(Inputs!$G$19,G26+Inputs!$C$13))*F26</f>
        <v>418405.729983284</v>
      </c>
      <c r="S26" s="64" t="n">
        <f aca="false">P26*(G26+Inputs!$C$14)*F26</f>
        <v>49755.3109567584</v>
      </c>
      <c r="T26" s="64" t="n">
        <f aca="false">N26+M26-Q26-R26-S26</f>
        <v>2304.72015098524</v>
      </c>
      <c r="U26" s="64" t="n">
        <f aca="false">W25</f>
        <v>10386.2746328514</v>
      </c>
      <c r="V26" s="64" t="n">
        <f aca="false">MIN(U26+I26,MAX(T26,0))</f>
        <v>2304.72015098524</v>
      </c>
      <c r="W26" s="64" t="n">
        <f aca="false">U26+I26-V26</f>
        <v>26026.0817448982</v>
      </c>
      <c r="X26" s="64" t="n">
        <f aca="false">K26+L26+V26+IF(E26,H26-I26-K26-L26,0)</f>
        <v>2833657.99314968</v>
      </c>
      <c r="Y26" s="61" t="b">
        <f aca="false">AND(Inputs!$C$21=1,O26/Inputs!$C$10&lt;=Inputs!$C$22,Inputs!$G$14&lt;Inputs!$C$23,W26&lt;1)</f>
        <v>0</v>
      </c>
      <c r="Z26" s="61" t="b">
        <f aca="false">OR(AND(Inputs!$G$15=1,H26/Inputs!$C$17&lt;=Inputs!$C$24),AND(Inputs!$G$15=2,C26&gt;=Inputs!$G$16))</f>
        <v>0</v>
      </c>
      <c r="AA26" s="61" t="b">
        <f aca="false">OR(AA25,Z26)</f>
        <v>0</v>
      </c>
      <c r="AB26" s="61" t="b">
        <f aca="false">AND(Z26,NOT(AA25),D26,O26&gt;0)</f>
        <v>0</v>
      </c>
      <c r="AC26" s="63" t="n">
        <f aca="false">IF(AND(Y26,NOT(E26),O26+P26&gt;0),O26/(O26+P26),1)</f>
        <v>1</v>
      </c>
      <c r="AD26" s="64" t="n">
        <f aca="false">IF(AB26,O26,IF(D26,MIN(O26,IF(E26,AC26*X26+BF25,BE26*Inputs!$G$20)),0))</f>
        <v>2833657.99314968</v>
      </c>
      <c r="AE26" s="64" t="n">
        <f aca="false">IF(AB26,P26,IF(D26,MAX(MIN(P26,X26-MIN(O26,AC26*X26)),0),0))</f>
        <v>0</v>
      </c>
      <c r="AF26" s="64" t="n">
        <f aca="false">IF(OR(AB26,E26),0,MAX(H26-I26-K26-L26,0))</f>
        <v>68901888.8505171</v>
      </c>
      <c r="AG26" s="64" t="n">
        <f aca="false">IF(E26,0,O26-AD26)</f>
        <v>62343086.1540664</v>
      </c>
      <c r="AH26" s="64" t="n">
        <f aca="false">IF(OR(AB26,E26),0,P26-AE26)</f>
        <v>6581390.33819556</v>
      </c>
      <c r="AI26" s="64" t="n">
        <f aca="false">IF(D26,R26+AD26,0)</f>
        <v>3252063.72313297</v>
      </c>
      <c r="AJ26" s="65" t="n">
        <f aca="false">(C26-Inputs!$G$6)/365</f>
        <v>3.89315068493151</v>
      </c>
      <c r="AK26" s="29" t="n">
        <f aca="false">AG26/Inputs!$C$10</f>
        <v>0.0440976736721955</v>
      </c>
      <c r="AL26" s="5"/>
      <c r="AM26" s="66" t="n">
        <f aca="false">F26</f>
        <v>0.255555555555556</v>
      </c>
      <c r="AN26" s="5"/>
      <c r="AO26" s="5" t="n">
        <f aca="false">AO25+LN(1+($G26+AO$7)*$AM26)</f>
        <v>0.0988449153680791</v>
      </c>
      <c r="AP26" s="5" t="n">
        <f aca="false">AP25+LN(1+($G26+AP$7)*$AM26)</f>
        <v>0.0992371752451199</v>
      </c>
      <c r="AQ26" s="5" t="n">
        <f aca="false">AQ25+LN(1+($G26+AQ$7)*$AM26)</f>
        <v>0.111837128101804</v>
      </c>
      <c r="AR26" s="5" t="n">
        <f aca="false">AR25+LN(1+($G26+AR$7)*$AM26)</f>
        <v>0.112229066128958</v>
      </c>
      <c r="AS26" s="5" t="n">
        <f aca="false">AS25+LN(1+($G26+AS$7)*$AM26)</f>
        <v>0.11197959770396</v>
      </c>
      <c r="AT26" s="5" t="n">
        <f aca="false">AT25+LN(1+($G26+AT$7)*$AM26)</f>
        <v>0.112371532203265</v>
      </c>
      <c r="AU26" s="5" t="n">
        <f aca="false">AU25+LN(1+($G26+AU$7)*$AM26)</f>
        <v>0.111979567285343</v>
      </c>
      <c r="AV26" s="5" t="n">
        <f aca="false">AV25+LN(1+($G26+AV$7)*$AM26)</f>
        <v>0.112371501785401</v>
      </c>
      <c r="AW26" s="5" t="n">
        <f aca="false">AW25+LN(1+($G26+AW$7)*$AM26)</f>
        <v>0.111979567295544</v>
      </c>
      <c r="AX26" s="5" t="n">
        <f aca="false">AX25+LN(1+($G26+AX$7)*$AM26)</f>
        <v>0.112371501795603</v>
      </c>
      <c r="AY26" s="5" t="n">
        <f aca="false">AY25+LN(1+($G26+AY$7)*$AM26)</f>
        <v>0.111979567295542</v>
      </c>
      <c r="AZ26" s="5" t="n">
        <f aca="false">AZ25+LN(1+($G26+AZ$7)*$AM26)</f>
        <v>0.1123715017956</v>
      </c>
      <c r="BA26" s="5" t="n">
        <f aca="false">BA25+LN(1+($G26+BA$7)*$AM26)</f>
        <v>0.111979567295542</v>
      </c>
      <c r="BB26" s="5" t="n">
        <f aca="false">BB25+LN(1+($G26+BB$7)*$AM26)</f>
        <v>0.1123715017956</v>
      </c>
      <c r="BC26" s="5" t="n">
        <f aca="false">BC25+LN(1+($G26+BC$7)*$AM26)</f>
        <v>0.111979567295542</v>
      </c>
      <c r="BD26" s="5" t="n">
        <f aca="false">BD25+LN(1+($G26+BD$7)*$AM26)</f>
        <v>0.1123715017956</v>
      </c>
      <c r="BE26" s="5" t="n">
        <f aca="false">IF(AB26,O26,IF(D26,MIN(O26,AC26*X26+BF25),0))</f>
        <v>2833657.99314968</v>
      </c>
      <c r="BF26" s="5" t="n">
        <f aca="false">IF(OR(AB26,E26),0,BE26-AD26)</f>
        <v>0</v>
      </c>
      <c r="BG26" s="5" t="n">
        <f aca="false">BG25+LN(1+($G26+BG$7)*$AM26)</f>
        <v>0.108059688415734</v>
      </c>
      <c r="BH26" s="5"/>
      <c r="BI26" s="5" t="n">
        <f aca="false">BI25+LN(1+($G26+BI$7)*$AM26)</f>
        <v>0.115898475631</v>
      </c>
      <c r="BJ26" s="5"/>
      <c r="BK26" s="62" t="n">
        <f aca="false">C26</f>
        <v>47710</v>
      </c>
      <c r="BL26" s="67" t="n">
        <f aca="false">AI26</f>
        <v>3252063.72313297</v>
      </c>
    </row>
    <row r="27" customFormat="false" ht="15" hidden="false" customHeight="true" outlineLevel="0" collapsed="false">
      <c r="A27" s="3" t="n">
        <v>17</v>
      </c>
      <c r="B27" s="38" t="n">
        <f aca="false">EDATE(Inputs!$C$8,3*(A27-1))</f>
        <v>47802</v>
      </c>
      <c r="C27" s="38" t="n">
        <f aca="false">WORKDAY(B27-1,1)</f>
        <v>47802</v>
      </c>
      <c r="D27" s="61" t="b">
        <f aca="false">C27&lt;=Inputs!$C$9</f>
        <v>1</v>
      </c>
      <c r="E27" s="61" t="b">
        <f aca="false">AND(D27,NOT(D28))</f>
        <v>0</v>
      </c>
      <c r="F27" s="63" t="n">
        <f aca="false">(C27-C26)/360</f>
        <v>0.255555555555556</v>
      </c>
      <c r="G27" s="57" t="n">
        <f aca="false">Curve!D20</f>
        <v>0.02252</v>
      </c>
      <c r="H27" s="64" t="n">
        <f aca="false">AF26</f>
        <v>68901888.8505171</v>
      </c>
      <c r="I27" s="64" t="n">
        <f aca="false">IF(D27,H27*Inputs!$G$22,0)</f>
        <v>17231.9355353698</v>
      </c>
      <c r="J27" s="32" t="n">
        <f aca="false">MAX(Inputs!$G$24-(A27-1),1)</f>
        <v>29.5917704676111</v>
      </c>
      <c r="K27" s="64" t="n">
        <f aca="false">IF(D27,MIN(H27-I27,IF(J27&gt;1,(H27-I27)*Inputs!$G$23/((1+Inputs!$G$23)^J27-1),H27-I27)),0)</f>
        <v>2074398.89013242</v>
      </c>
      <c r="L27" s="64" t="n">
        <f aca="false">IF(D27,(H27-I27-K27)*Inputs!$G$21,0)</f>
        <v>719735.823736945</v>
      </c>
      <c r="M27" s="64" t="n">
        <f aca="false">IF(A27&gt;Inputs!$G$13,(1-Inputs!$G$12)*INDEX($I$11:$I$190,A27-Inputs!$G$13),0)</f>
        <v>18566.2141184205</v>
      </c>
      <c r="N27" s="64" t="n">
        <f aca="false">IF(D27,(H27-I27)*Inputs!$G$23,0)</f>
        <v>546599.75262038</v>
      </c>
      <c r="O27" s="64" t="n">
        <f aca="false">AG26</f>
        <v>62343086.1540664</v>
      </c>
      <c r="P27" s="64" t="n">
        <f aca="false">AH26</f>
        <v>6581390.33819556</v>
      </c>
      <c r="Q27" s="64" t="n">
        <f aca="false">IF(AND(D27,O27+P27&gt;0),Inputs!$C$25+Inputs!$C$26*H27/4,0)</f>
        <v>117225.472212629</v>
      </c>
      <c r="R27" s="64" t="n">
        <f aca="false">O27*IF(Inputs!$G$19="",G27+Inputs!$C$13,MAX(Inputs!$G$19,G27+Inputs!$C$13))*F27</f>
        <v>400214.905070816</v>
      </c>
      <c r="S27" s="64" t="n">
        <f aca="false">P27*(G27+Inputs!$C$14)*F27</f>
        <v>49755.3109567584</v>
      </c>
      <c r="T27" s="64" t="n">
        <f aca="false">N27+M27-Q27-R27-S27</f>
        <v>-2029.72150140325</v>
      </c>
      <c r="U27" s="64" t="n">
        <f aca="false">W26</f>
        <v>26026.0817448982</v>
      </c>
      <c r="V27" s="64" t="n">
        <f aca="false">MIN(U27+I27,MAX(T27,0))</f>
        <v>0</v>
      </c>
      <c r="W27" s="64" t="n">
        <f aca="false">U27+I27-V27</f>
        <v>43258.0172802679</v>
      </c>
      <c r="X27" s="64" t="n">
        <f aca="false">K27+L27+V27+IF(E27,H27-I27-K27-L27,0)</f>
        <v>2794134.71386936</v>
      </c>
      <c r="Y27" s="61" t="b">
        <f aca="false">AND(Inputs!$C$21=1,O27/Inputs!$C$10&lt;=Inputs!$C$22,Inputs!$G$14&lt;Inputs!$C$23,W27&lt;1)</f>
        <v>0</v>
      </c>
      <c r="Z27" s="61" t="b">
        <f aca="false">OR(AND(Inputs!$G$15=1,H27/Inputs!$C$17&lt;=Inputs!$C$24),AND(Inputs!$G$15=2,C27&gt;=Inputs!$G$16))</f>
        <v>0</v>
      </c>
      <c r="AA27" s="61" t="b">
        <f aca="false">OR(AA26,Z27)</f>
        <v>0</v>
      </c>
      <c r="AB27" s="61" t="b">
        <f aca="false">AND(Z27,NOT(AA26),D27,O27&gt;0)</f>
        <v>0</v>
      </c>
      <c r="AC27" s="63" t="n">
        <f aca="false">IF(AND(Y27,NOT(E27),O27+P27&gt;0),O27/(O27+P27),1)</f>
        <v>1</v>
      </c>
      <c r="AD27" s="64" t="n">
        <f aca="false">IF(AB27,O27,IF(D27,MIN(O27,IF(E27,AC27*X27+BF26,BE27*Inputs!$G$20)),0))</f>
        <v>2794134.71386936</v>
      </c>
      <c r="AE27" s="64" t="n">
        <f aca="false">IF(AB27,P27,IF(D27,MAX(MIN(P27,X27-MIN(O27,AC27*X27)),0),0))</f>
        <v>0</v>
      </c>
      <c r="AF27" s="64" t="n">
        <f aca="false">IF(OR(AB27,E27),0,MAX(H27-I27-K27-L27,0))</f>
        <v>66090522.2011123</v>
      </c>
      <c r="AG27" s="64" t="n">
        <f aca="false">IF(E27,0,O27-AD27)</f>
        <v>59548951.4401971</v>
      </c>
      <c r="AH27" s="64" t="n">
        <f aca="false">IF(OR(AB27,E27),0,P27-AE27)</f>
        <v>6581390.33819556</v>
      </c>
      <c r="AI27" s="64" t="n">
        <f aca="false">IF(D27,R27+AD27,0)</f>
        <v>3194349.61894018</v>
      </c>
      <c r="AJ27" s="65" t="n">
        <f aca="false">(C27-Inputs!$G$6)/365</f>
        <v>4.14520547945206</v>
      </c>
      <c r="AK27" s="29" t="n">
        <f aca="false">AG27/Inputs!$C$10</f>
        <v>0.0421212742282561</v>
      </c>
      <c r="AL27" s="5"/>
      <c r="AM27" s="66" t="n">
        <f aca="false">F27</f>
        <v>0.255555555555556</v>
      </c>
      <c r="AN27" s="5"/>
      <c r="AO27" s="5" t="n">
        <f aca="false">AO26+LN(1+($G27+AO$7)*$AM27)</f>
        <v>0.105243953339237</v>
      </c>
      <c r="AP27" s="5" t="n">
        <f aca="false">AP26+LN(1+($G27+AP$7)*$AM27)</f>
        <v>0.105661605440583</v>
      </c>
      <c r="AQ27" s="5" t="n">
        <f aca="false">AQ26+LN(1+($G27+AQ$7)*$AM27)</f>
        <v>0.119077184929284</v>
      </c>
      <c r="AR27" s="5" t="n">
        <f aca="false">AR26+LN(1+($G27+AR$7)*$AM27)</f>
        <v>0.119494493834654</v>
      </c>
      <c r="AS27" s="5" t="n">
        <f aca="false">AS26+LN(1+($G27+AS$7)*$AM27)</f>
        <v>0.119228876855826</v>
      </c>
      <c r="AT27" s="5" t="n">
        <f aca="false">AT26+LN(1+($G27+AT$7)*$AM27)</f>
        <v>0.119646181999372</v>
      </c>
      <c r="AU27" s="5" t="n">
        <f aca="false">AU26+LN(1+($G27+AU$7)*$AM27)</f>
        <v>0.119228844468155</v>
      </c>
      <c r="AV27" s="5" t="n">
        <f aca="false">AV26+LN(1+($G27+AV$7)*$AM27)</f>
        <v>0.119646149612504</v>
      </c>
      <c r="AW27" s="5" t="n">
        <f aca="false">AW26+LN(1+($G27+AW$7)*$AM27)</f>
        <v>0.119228844479017</v>
      </c>
      <c r="AX27" s="5" t="n">
        <f aca="false">AX26+LN(1+($G27+AX$7)*$AM27)</f>
        <v>0.119646149623367</v>
      </c>
      <c r="AY27" s="5" t="n">
        <f aca="false">AY26+LN(1+($G27+AY$7)*$AM27)</f>
        <v>0.119228844479015</v>
      </c>
      <c r="AZ27" s="5" t="n">
        <f aca="false">AZ26+LN(1+($G27+AZ$7)*$AM27)</f>
        <v>0.119646149623363</v>
      </c>
      <c r="BA27" s="5" t="n">
        <f aca="false">BA26+LN(1+($G27+BA$7)*$AM27)</f>
        <v>0.119228844479015</v>
      </c>
      <c r="BB27" s="5" t="n">
        <f aca="false">BB26+LN(1+($G27+BB$7)*$AM27)</f>
        <v>0.119646149623363</v>
      </c>
      <c r="BC27" s="5" t="n">
        <f aca="false">BC26+LN(1+($G27+BC$7)*$AM27)</f>
        <v>0.119228844479015</v>
      </c>
      <c r="BD27" s="5" t="n">
        <f aca="false">BD26+LN(1+($G27+BD$7)*$AM27)</f>
        <v>0.119646149623363</v>
      </c>
      <c r="BE27" s="5" t="n">
        <f aca="false">IF(AB27,O27,IF(D27,MIN(O27,AC27*X27+BF26),0))</f>
        <v>2794134.71386936</v>
      </c>
      <c r="BF27" s="5" t="n">
        <f aca="false">IF(OR(AB27,E27),0,BE27-AD27)</f>
        <v>0</v>
      </c>
      <c r="BG27" s="5" t="n">
        <f aca="false">BG26+LN(1+($G27+BG$7)*$AM27)</f>
        <v>0.115055223748185</v>
      </c>
      <c r="BH27" s="5"/>
      <c r="BI27" s="5" t="n">
        <f aca="false">BI26+LN(1+($G27+BI$7)*$AM27)</f>
        <v>0.1234014302969</v>
      </c>
      <c r="BJ27" s="5"/>
      <c r="BK27" s="62" t="n">
        <f aca="false">C27</f>
        <v>47802</v>
      </c>
      <c r="BL27" s="67" t="n">
        <f aca="false">AI27</f>
        <v>3194349.61894018</v>
      </c>
    </row>
    <row r="28" customFormat="false" ht="15" hidden="false" customHeight="true" outlineLevel="0" collapsed="false">
      <c r="A28" s="3" t="n">
        <v>18</v>
      </c>
      <c r="B28" s="38" t="n">
        <f aca="false">EDATE(Inputs!$C$8,3*(A28-1))</f>
        <v>47894</v>
      </c>
      <c r="C28" s="38" t="n">
        <f aca="false">WORKDAY(B28-1,1)</f>
        <v>47896</v>
      </c>
      <c r="D28" s="61" t="b">
        <f aca="false">C28&lt;=Inputs!$C$9</f>
        <v>1</v>
      </c>
      <c r="E28" s="61" t="b">
        <f aca="false">AND(D28,NOT(D29))</f>
        <v>0</v>
      </c>
      <c r="F28" s="63" t="n">
        <f aca="false">(C28-C27)/360</f>
        <v>0.261111111111111</v>
      </c>
      <c r="G28" s="57" t="n">
        <f aca="false">Curve!D21</f>
        <v>0.02252</v>
      </c>
      <c r="H28" s="64" t="n">
        <f aca="false">AF27</f>
        <v>66090522.2011123</v>
      </c>
      <c r="I28" s="64" t="n">
        <f aca="false">IF(D28,H28*Inputs!$G$22,0)</f>
        <v>16528.830153543</v>
      </c>
      <c r="J28" s="32" t="n">
        <f aca="false">MAX(Inputs!$G$24-(A28-1),1)</f>
        <v>28.5917704676111</v>
      </c>
      <c r="K28" s="64" t="n">
        <f aca="false">IF(D28,MIN(H28-I28,IF(J28&gt;1,(H28-I28)*Inputs!$G$23/((1+Inputs!$G$23)^J28-1),H28-I28)),0)</f>
        <v>2067817.48790536</v>
      </c>
      <c r="L28" s="64" t="n">
        <f aca="false">IF(D28,(H28-I28-K28)*Inputs!$G$21,0)</f>
        <v>689527.912110547</v>
      </c>
      <c r="M28" s="64" t="n">
        <f aca="false">IF(A28&gt;Inputs!$G$13,(1-Inputs!$G$12)*INDEX($I$11:$I$190,A28-Inputs!$G$13),0)</f>
        <v>17940.4746841292</v>
      </c>
      <c r="N28" s="64" t="n">
        <f aca="false">IF(D28,(H28-I28)*Inputs!$G$23,0)</f>
        <v>524297.137398558</v>
      </c>
      <c r="O28" s="64" t="n">
        <f aca="false">AG27</f>
        <v>59548951.4401971</v>
      </c>
      <c r="P28" s="64" t="n">
        <f aca="false">AH27</f>
        <v>6581390.33819556</v>
      </c>
      <c r="Q28" s="64" t="n">
        <f aca="false">IF(AND(D28,O28+P28&gt;0),Inputs!$C$25+Inputs!$C$26*H28/4,0)</f>
        <v>116522.630550278</v>
      </c>
      <c r="R28" s="64" t="n">
        <f aca="false">O28*IF(Inputs!$G$19="",G28+Inputs!$C$13,MAX(Inputs!$G$19,G28+Inputs!$C$13))*F28</f>
        <v>390588.189046413</v>
      </c>
      <c r="S28" s="64" t="n">
        <f aca="false">P28*(G28+Inputs!$C$14)*F28</f>
        <v>50836.9481514706</v>
      </c>
      <c r="T28" s="64" t="n">
        <f aca="false">N28+M28-Q28-R28-S28</f>
        <v>-15710.1556654741</v>
      </c>
      <c r="U28" s="64" t="n">
        <f aca="false">W27</f>
        <v>43258.0172802679</v>
      </c>
      <c r="V28" s="64" t="n">
        <f aca="false">MIN(U28+I28,MAX(T28,0))</f>
        <v>0</v>
      </c>
      <c r="W28" s="64" t="n">
        <f aca="false">U28+I28-V28</f>
        <v>59786.8474338109</v>
      </c>
      <c r="X28" s="64" t="n">
        <f aca="false">K28+L28+V28+IF(E28,H28-I28-K28-L28,0)</f>
        <v>2757345.40001591</v>
      </c>
      <c r="Y28" s="61" t="b">
        <f aca="false">AND(Inputs!$C$21=1,O28/Inputs!$C$10&lt;=Inputs!$C$22,Inputs!$G$14&lt;Inputs!$C$23,W28&lt;1)</f>
        <v>0</v>
      </c>
      <c r="Z28" s="61" t="b">
        <f aca="false">OR(AND(Inputs!$G$15=1,H28/Inputs!$C$17&lt;=Inputs!$C$24),AND(Inputs!$G$15=2,C28&gt;=Inputs!$G$16))</f>
        <v>0</v>
      </c>
      <c r="AA28" s="61" t="b">
        <f aca="false">OR(AA27,Z28)</f>
        <v>0</v>
      </c>
      <c r="AB28" s="61" t="b">
        <f aca="false">AND(Z28,NOT(AA27),D28,O28&gt;0)</f>
        <v>0</v>
      </c>
      <c r="AC28" s="63" t="n">
        <f aca="false">IF(AND(Y28,NOT(E28),O28+P28&gt;0),O28/(O28+P28),1)</f>
        <v>1</v>
      </c>
      <c r="AD28" s="64" t="n">
        <f aca="false">IF(AB28,O28,IF(D28,MIN(O28,IF(E28,AC28*X28+BF27,BE28*Inputs!$G$20)),0))</f>
        <v>2757345.40001591</v>
      </c>
      <c r="AE28" s="64" t="n">
        <f aca="false">IF(AB28,P28,IF(D28,MAX(MIN(P28,X28-MIN(O28,AC28*X28)),0),0))</f>
        <v>0</v>
      </c>
      <c r="AF28" s="64" t="n">
        <f aca="false">IF(OR(AB28,E28),0,MAX(H28-I28-K28-L28,0))</f>
        <v>63316647.9709429</v>
      </c>
      <c r="AG28" s="64" t="n">
        <f aca="false">IF(E28,0,O28-AD28)</f>
        <v>56791606.0401812</v>
      </c>
      <c r="AH28" s="64" t="n">
        <f aca="false">IF(OR(AB28,E28),0,P28-AE28)</f>
        <v>6581390.33819556</v>
      </c>
      <c r="AI28" s="64" t="n">
        <f aca="false">IF(D28,R28+AD28,0)</f>
        <v>3147933.58906232</v>
      </c>
      <c r="AJ28" s="65" t="n">
        <f aca="false">(C28-Inputs!$G$6)/365</f>
        <v>4.4027397260274</v>
      </c>
      <c r="AK28" s="29" t="n">
        <f aca="false">AG28/Inputs!$C$10</f>
        <v>0.0401708972874845</v>
      </c>
      <c r="AL28" s="5"/>
      <c r="AM28" s="66" t="n">
        <f aca="false">F28</f>
        <v>0.261111111111111</v>
      </c>
      <c r="AN28" s="5"/>
      <c r="AO28" s="5" t="n">
        <f aca="false">AO27+LN(1+($G28+AO$7)*$AM28)</f>
        <v>0.111781647082649</v>
      </c>
      <c r="AP28" s="5" t="n">
        <f aca="false">AP27+LN(1+($G28+AP$7)*$AM28)</f>
        <v>0.112225239808997</v>
      </c>
      <c r="AQ28" s="5" t="n">
        <f aca="false">AQ27+LN(1+($G28+AQ$7)*$AM28)</f>
        <v>0.126474053607966</v>
      </c>
      <c r="AR28" s="5" t="n">
        <f aca="false">AR27+LN(1+($G28+AR$7)*$AM28)</f>
        <v>0.126917280860662</v>
      </c>
      <c r="AS28" s="5" t="n">
        <f aca="false">AS27+LN(1+($G28+AS$7)*$AM28)</f>
        <v>0.126635166865776</v>
      </c>
      <c r="AT28" s="5" t="n">
        <f aca="false">AT27+LN(1+($G28+AT$7)*$AM28)</f>
        <v>0.127078390112468</v>
      </c>
      <c r="AU28" s="5" t="n">
        <f aca="false">AU27+LN(1+($G28+AU$7)*$AM28)</f>
        <v>0.126635132466561</v>
      </c>
      <c r="AV28" s="5" t="n">
        <f aca="false">AV27+LN(1+($G28+AV$7)*$AM28)</f>
        <v>0.127078355714108</v>
      </c>
      <c r="AW28" s="5" t="n">
        <f aca="false">AW27+LN(1+($G28+AW$7)*$AM28)</f>
        <v>0.126635132478097</v>
      </c>
      <c r="AX28" s="5" t="n">
        <f aca="false">AX27+LN(1+($G28+AX$7)*$AM28)</f>
        <v>0.127078355725646</v>
      </c>
      <c r="AY28" s="5" t="n">
        <f aca="false">AY27+LN(1+($G28+AY$7)*$AM28)</f>
        <v>0.126635132478095</v>
      </c>
      <c r="AZ28" s="5" t="n">
        <f aca="false">AZ27+LN(1+($G28+AZ$7)*$AM28)</f>
        <v>0.127078355725642</v>
      </c>
      <c r="BA28" s="5" t="n">
        <f aca="false">BA27+LN(1+($G28+BA$7)*$AM28)</f>
        <v>0.126635132478095</v>
      </c>
      <c r="BB28" s="5" t="n">
        <f aca="false">BB27+LN(1+($G28+BB$7)*$AM28)</f>
        <v>0.127078355725642</v>
      </c>
      <c r="BC28" s="5" t="n">
        <f aca="false">BC27+LN(1+($G28+BC$7)*$AM28)</f>
        <v>0.126635132478095</v>
      </c>
      <c r="BD28" s="5" t="n">
        <f aca="false">BD27+LN(1+($G28+BD$7)*$AM28)</f>
        <v>0.127078355725642</v>
      </c>
      <c r="BE28" s="5" t="n">
        <f aca="false">IF(AB28,O28,IF(D28,MIN(O28,AC28*X28+BF27),0))</f>
        <v>2757345.40001591</v>
      </c>
      <c r="BF28" s="5" t="n">
        <f aca="false">IF(OR(AB28,E28),0,BE28-AD28)</f>
        <v>0</v>
      </c>
      <c r="BG28" s="5" t="n">
        <f aca="false">BG27+LN(1+($G28+BG$7)*$AM28)</f>
        <v>0.122202293762434</v>
      </c>
      <c r="BH28" s="5"/>
      <c r="BI28" s="5" t="n">
        <f aca="false">BI27+LN(1+($G28+BI$7)*$AM28)</f>
        <v>0.131066869104262</v>
      </c>
      <c r="BJ28" s="5"/>
      <c r="BK28" s="62" t="n">
        <f aca="false">C28</f>
        <v>47896</v>
      </c>
      <c r="BL28" s="67" t="n">
        <f aca="false">AI28</f>
        <v>3147933.58906232</v>
      </c>
    </row>
    <row r="29" customFormat="false" ht="15" hidden="false" customHeight="true" outlineLevel="0" collapsed="false">
      <c r="A29" s="3" t="n">
        <v>19</v>
      </c>
      <c r="B29" s="38" t="n">
        <f aca="false">EDATE(Inputs!$C$8,3*(A29-1))</f>
        <v>47983</v>
      </c>
      <c r="C29" s="38" t="n">
        <f aca="false">WORKDAY(B29-1,1)</f>
        <v>47983</v>
      </c>
      <c r="D29" s="61" t="b">
        <f aca="false">C29&lt;=Inputs!$C$9</f>
        <v>1</v>
      </c>
      <c r="E29" s="61" t="b">
        <f aca="false">AND(D29,NOT(D30))</f>
        <v>0</v>
      </c>
      <c r="F29" s="63" t="n">
        <f aca="false">(C29-C28)/360</f>
        <v>0.241666666666667</v>
      </c>
      <c r="G29" s="57" t="n">
        <f aca="false">Curve!D22</f>
        <v>0.02252</v>
      </c>
      <c r="H29" s="64" t="n">
        <f aca="false">AF28</f>
        <v>63316647.9709429</v>
      </c>
      <c r="I29" s="64" t="n">
        <f aca="false">IF(D29,H29*Inputs!$G$22,0)</f>
        <v>15835.1013934911</v>
      </c>
      <c r="J29" s="32" t="n">
        <f aca="false">MAX(Inputs!$G$24-(A29-1),1)</f>
        <v>27.5917704676111</v>
      </c>
      <c r="K29" s="64" t="n">
        <f aca="false">IF(D29,MIN(H29-I29,IF(J29&gt;1,(H29-I29)*Inputs!$G$23/((1+Inputs!$G$23)^J29-1),H29-I29)),0)</f>
        <v>2061256.96635631</v>
      </c>
      <c r="L29" s="64" t="n">
        <f aca="false">IF(D29,(H29-I29-K29)*Inputs!$G$21,0)</f>
        <v>659723.574138506</v>
      </c>
      <c r="M29" s="64" t="n">
        <f aca="false">IF(A29&gt;Inputs!$G$13,(1-Inputs!$G$12)*INDEX($I$11:$I$190,A29-Inputs!$G$13),0)</f>
        <v>17322.9671721901</v>
      </c>
      <c r="N29" s="64" t="n">
        <f aca="false">IF(D29,(H29-I29)*Inputs!$G$23,0)</f>
        <v>502291.950119874</v>
      </c>
      <c r="O29" s="64" t="n">
        <f aca="false">AG28</f>
        <v>56791606.0401812</v>
      </c>
      <c r="P29" s="64" t="n">
        <f aca="false">AH28</f>
        <v>6581390.33819556</v>
      </c>
      <c r="Q29" s="64" t="n">
        <f aca="false">IF(AND(D29,O29+P29&gt;0),Inputs!$C$25+Inputs!$C$26*H29/4,0)</f>
        <v>115829.161992736</v>
      </c>
      <c r="R29" s="64" t="n">
        <f aca="false">O29*IF(Inputs!$G$19="",G29+Inputs!$C$13,MAX(Inputs!$G$19,G29+Inputs!$C$13))*F29</f>
        <v>344762.909734593</v>
      </c>
      <c r="S29" s="64" t="n">
        <f aca="false">P29*(G29+Inputs!$C$14)*F29</f>
        <v>47051.2179699781</v>
      </c>
      <c r="T29" s="64" t="n">
        <f aca="false">N29+M29-Q29-R29-S29</f>
        <v>11971.6275947575</v>
      </c>
      <c r="U29" s="64" t="n">
        <f aca="false">W28</f>
        <v>59786.8474338109</v>
      </c>
      <c r="V29" s="64" t="n">
        <f aca="false">MIN(U29+I29,MAX(T29,0))</f>
        <v>11971.6275947575</v>
      </c>
      <c r="W29" s="64" t="n">
        <f aca="false">U29+I29-V29</f>
        <v>63650.3212325445</v>
      </c>
      <c r="X29" s="64" t="n">
        <f aca="false">K29+L29+V29+IF(E29,H29-I29-K29-L29,0)</f>
        <v>2732952.16808957</v>
      </c>
      <c r="Y29" s="61" t="b">
        <f aca="false">AND(Inputs!$C$21=1,O29/Inputs!$C$10&lt;=Inputs!$C$22,Inputs!$G$14&lt;Inputs!$C$23,W29&lt;1)</f>
        <v>0</v>
      </c>
      <c r="Z29" s="61" t="b">
        <f aca="false">OR(AND(Inputs!$G$15=1,H29/Inputs!$C$17&lt;=Inputs!$C$24),AND(Inputs!$G$15=2,C29&gt;=Inputs!$G$16))</f>
        <v>0</v>
      </c>
      <c r="AA29" s="61" t="b">
        <f aca="false">OR(AA28,Z29)</f>
        <v>0</v>
      </c>
      <c r="AB29" s="61" t="b">
        <f aca="false">AND(Z29,NOT(AA28),D29,O29&gt;0)</f>
        <v>0</v>
      </c>
      <c r="AC29" s="63" t="n">
        <f aca="false">IF(AND(Y29,NOT(E29),O29+P29&gt;0),O29/(O29+P29),1)</f>
        <v>1</v>
      </c>
      <c r="AD29" s="64" t="n">
        <f aca="false">IF(AB29,O29,IF(D29,MIN(O29,IF(E29,AC29*X29+BF28,BE29*Inputs!$G$20)),0))</f>
        <v>2732952.16808957</v>
      </c>
      <c r="AE29" s="64" t="n">
        <f aca="false">IF(AB29,P29,IF(D29,MAX(MIN(P29,X29-MIN(O29,AC29*X29)),0),0))</f>
        <v>0</v>
      </c>
      <c r="AF29" s="64" t="n">
        <f aca="false">IF(OR(AB29,E29),0,MAX(H29-I29-K29-L29,0))</f>
        <v>60579832.3290546</v>
      </c>
      <c r="AG29" s="64" t="n">
        <f aca="false">IF(E29,0,O29-AD29)</f>
        <v>54058653.8720916</v>
      </c>
      <c r="AH29" s="64" t="n">
        <f aca="false">IF(OR(AB29,E29),0,P29-AE29)</f>
        <v>6581390.33819556</v>
      </c>
      <c r="AI29" s="64" t="n">
        <f aca="false">IF(D29,R29+AD29,0)</f>
        <v>3077715.07782417</v>
      </c>
      <c r="AJ29" s="65" t="n">
        <f aca="false">(C29-Inputs!$G$6)/365</f>
        <v>4.64109589041096</v>
      </c>
      <c r="AK29" s="29" t="n">
        <f aca="false">AG29/Inputs!$C$10</f>
        <v>0.0382377746221691</v>
      </c>
      <c r="AL29" s="5"/>
      <c r="AM29" s="66" t="n">
        <f aca="false">F29</f>
        <v>0.241666666666667</v>
      </c>
      <c r="AN29" s="5"/>
      <c r="AO29" s="5" t="n">
        <f aca="false">AO28+LN(1+($G29+AO$7)*$AM29)</f>
        <v>0.117833961488612</v>
      </c>
      <c r="AP29" s="5" t="n">
        <f aca="false">AP28+LN(1+($G29+AP$7)*$AM29)</f>
        <v>0.118301574770593</v>
      </c>
      <c r="AQ29" s="5" t="n">
        <f aca="false">AQ28+LN(1+($G29+AQ$7)*$AM29)</f>
        <v>0.133321973192633</v>
      </c>
      <c r="AR29" s="5" t="n">
        <f aca="false">AR28+LN(1+($G29+AR$7)*$AM29)</f>
        <v>0.133789201897914</v>
      </c>
      <c r="AS29" s="5" t="n">
        <f aca="false">AS28+LN(1+($G29+AS$7)*$AM29)</f>
        <v>0.133491810984261</v>
      </c>
      <c r="AT29" s="5" t="n">
        <f aca="false">AT28+LN(1+($G29+AT$7)*$AM29)</f>
        <v>0.13395903547414</v>
      </c>
      <c r="AU29" s="5" t="n">
        <f aca="false">AU28+LN(1+($G29+AU$7)*$AM29)</f>
        <v>0.133491774722275</v>
      </c>
      <c r="AV29" s="5" t="n">
        <f aca="false">AV28+LN(1+($G29+AV$7)*$AM29)</f>
        <v>0.133958999213054</v>
      </c>
      <c r="AW29" s="5" t="n">
        <f aca="false">AW28+LN(1+($G29+AW$7)*$AM29)</f>
        <v>0.133491774734436</v>
      </c>
      <c r="AX29" s="5" t="n">
        <f aca="false">AX28+LN(1+($G29+AX$7)*$AM29)</f>
        <v>0.133958999225216</v>
      </c>
      <c r="AY29" s="5" t="n">
        <f aca="false">AY28+LN(1+($G29+AY$7)*$AM29)</f>
        <v>0.133491774734434</v>
      </c>
      <c r="AZ29" s="5" t="n">
        <f aca="false">AZ28+LN(1+($G29+AZ$7)*$AM29)</f>
        <v>0.133958999225211</v>
      </c>
      <c r="BA29" s="5" t="n">
        <f aca="false">BA28+LN(1+($G29+BA$7)*$AM29)</f>
        <v>0.133491774734434</v>
      </c>
      <c r="BB29" s="5" t="n">
        <f aca="false">BB28+LN(1+($G29+BB$7)*$AM29)</f>
        <v>0.133958999225211</v>
      </c>
      <c r="BC29" s="5" t="n">
        <f aca="false">BC28+LN(1+($G29+BC$7)*$AM29)</f>
        <v>0.133491774734434</v>
      </c>
      <c r="BD29" s="5" t="n">
        <f aca="false">BD28+LN(1+($G29+BD$7)*$AM29)</f>
        <v>0.133958999225211</v>
      </c>
      <c r="BE29" s="5" t="n">
        <f aca="false">IF(AB29,O29,IF(D29,MIN(O29,AC29*X29+BF28),0))</f>
        <v>2732952.16808957</v>
      </c>
      <c r="BF29" s="5" t="n">
        <f aca="false">IF(OR(AB29,E29),0,BE29-AD29)</f>
        <v>0</v>
      </c>
      <c r="BG29" s="5" t="n">
        <f aca="false">BG28+LN(1+($G29+BG$7)*$AM29)</f>
        <v>0.128818891897858</v>
      </c>
      <c r="BH29" s="5"/>
      <c r="BI29" s="5" t="n">
        <f aca="false">BI28+LN(1+($G29+BI$7)*$AM29)</f>
        <v>0.138163497874163</v>
      </c>
      <c r="BJ29" s="5"/>
      <c r="BK29" s="62" t="n">
        <f aca="false">C29</f>
        <v>47983</v>
      </c>
      <c r="BL29" s="67" t="n">
        <f aca="false">AI29</f>
        <v>3077715.07782417</v>
      </c>
    </row>
    <row r="30" customFormat="false" ht="15" hidden="false" customHeight="true" outlineLevel="0" collapsed="false">
      <c r="A30" s="3" t="n">
        <v>20</v>
      </c>
      <c r="B30" s="38" t="n">
        <f aca="false">EDATE(Inputs!$C$8,3*(A30-1))</f>
        <v>48075</v>
      </c>
      <c r="C30" s="38" t="n">
        <f aca="false">WORKDAY(B30-1,1)</f>
        <v>48075</v>
      </c>
      <c r="D30" s="61" t="b">
        <f aca="false">C30&lt;=Inputs!$C$9</f>
        <v>1</v>
      </c>
      <c r="E30" s="61" t="b">
        <f aca="false">AND(D30,NOT(D31))</f>
        <v>0</v>
      </c>
      <c r="F30" s="63" t="n">
        <f aca="false">(C30-C29)/360</f>
        <v>0.255555555555556</v>
      </c>
      <c r="G30" s="57" t="n">
        <f aca="false">Curve!D23</f>
        <v>0.02252</v>
      </c>
      <c r="H30" s="64" t="n">
        <f aca="false">AF29</f>
        <v>60579832.3290546</v>
      </c>
      <c r="I30" s="64" t="n">
        <f aca="false">IF(D30,H30*Inputs!$G$22,0)</f>
        <v>15150.6407567801</v>
      </c>
      <c r="J30" s="32" t="n">
        <f aca="false">MAX(Inputs!$G$24-(A30-1),1)</f>
        <v>26.5917704676111</v>
      </c>
      <c r="K30" s="64" t="n">
        <f aca="false">IF(D30,MIN(H30-I30,IF(J30&gt;1,(H30-I30)*Inputs!$G$23/((1+Inputs!$G$23)^J30-1),H30-I30)),0)</f>
        <v>2054717.25923756</v>
      </c>
      <c r="L30" s="64" t="n">
        <f aca="false">IF(D30,(H30-I30-K30)*Inputs!$G$21,0)</f>
        <v>630318.138114451</v>
      </c>
      <c r="M30" s="64" t="n">
        <f aca="false">IF(A30&gt;Inputs!$G$13,(1-Inputs!$G$12)*INDEX($I$11:$I$190,A30-Inputs!$G$13),0)</f>
        <v>16713.5966257912</v>
      </c>
      <c r="N30" s="64" t="n">
        <f aca="false">IF(D30,(H30-I30)*Inputs!$G$23,0)</f>
        <v>480580.749196643</v>
      </c>
      <c r="O30" s="64" t="n">
        <f aca="false">AG29</f>
        <v>54058653.8720916</v>
      </c>
      <c r="P30" s="64" t="n">
        <f aca="false">AH29</f>
        <v>6581390.33819556</v>
      </c>
      <c r="Q30" s="64" t="n">
        <f aca="false">IF(AND(D30,O30+P30&gt;0),Inputs!$C$25+Inputs!$C$26*H30/4,0)</f>
        <v>115144.958082264</v>
      </c>
      <c r="R30" s="64" t="n">
        <f aca="false">O30*IF(Inputs!$G$19="",G30+Inputs!$C$13,MAX(Inputs!$G$19,G30+Inputs!$C$13))*F30</f>
        <v>347032.53179044</v>
      </c>
      <c r="S30" s="64" t="n">
        <f aca="false">P30*(G30+Inputs!$C$14)*F30</f>
        <v>49755.3109567584</v>
      </c>
      <c r="T30" s="64" t="n">
        <f aca="false">N30+M30-Q30-R30-S30</f>
        <v>-14638.4550070283</v>
      </c>
      <c r="U30" s="64" t="n">
        <f aca="false">W29</f>
        <v>63650.3212325445</v>
      </c>
      <c r="V30" s="64" t="n">
        <f aca="false">MIN(U30+I30,MAX(T30,0))</f>
        <v>0</v>
      </c>
      <c r="W30" s="64" t="n">
        <f aca="false">U30+I30-V30</f>
        <v>78800.9619893246</v>
      </c>
      <c r="X30" s="64" t="n">
        <f aca="false">K30+L30+V30+IF(E30,H30-I30-K30-L30,0)</f>
        <v>2685035.39735201</v>
      </c>
      <c r="Y30" s="61" t="b">
        <f aca="false">AND(Inputs!$C$21=1,O30/Inputs!$C$10&lt;=Inputs!$C$22,Inputs!$G$14&lt;Inputs!$C$23,W30&lt;1)</f>
        <v>0</v>
      </c>
      <c r="Z30" s="61" t="b">
        <f aca="false">OR(AND(Inputs!$G$15=1,H30/Inputs!$C$17&lt;=Inputs!$C$24),AND(Inputs!$G$15=2,C30&gt;=Inputs!$G$16))</f>
        <v>0</v>
      </c>
      <c r="AA30" s="61" t="b">
        <f aca="false">OR(AA29,Z30)</f>
        <v>0</v>
      </c>
      <c r="AB30" s="61" t="b">
        <f aca="false">AND(Z30,NOT(AA29),D30,O30&gt;0)</f>
        <v>0</v>
      </c>
      <c r="AC30" s="63" t="n">
        <f aca="false">IF(AND(Y30,NOT(E30),O30+P30&gt;0),O30/(O30+P30),1)</f>
        <v>1</v>
      </c>
      <c r="AD30" s="64" t="n">
        <f aca="false">IF(AB30,O30,IF(D30,MIN(O30,IF(E30,AC30*X30+BF29,BE30*Inputs!$G$20)),0))</f>
        <v>2685035.39735201</v>
      </c>
      <c r="AE30" s="64" t="n">
        <f aca="false">IF(AB30,P30,IF(D30,MAX(MIN(P30,X30-MIN(O30,AC30*X30)),0),0))</f>
        <v>0</v>
      </c>
      <c r="AF30" s="64" t="n">
        <f aca="false">IF(OR(AB30,E30),0,MAX(H30-I30-K30-L30,0))</f>
        <v>57879646.2909458</v>
      </c>
      <c r="AG30" s="64" t="n">
        <f aca="false">IF(E30,0,O30-AD30)</f>
        <v>51373618.4747396</v>
      </c>
      <c r="AH30" s="64" t="n">
        <f aca="false">IF(OR(AB30,E30),0,P30-AE30)</f>
        <v>6581390.33819556</v>
      </c>
      <c r="AI30" s="64" t="n">
        <f aca="false">IF(D30,R30+AD30,0)</f>
        <v>3032067.92914245</v>
      </c>
      <c r="AJ30" s="65" t="n">
        <f aca="false">(C30-Inputs!$G$6)/365</f>
        <v>4.89315068493151</v>
      </c>
      <c r="AK30" s="29" t="n">
        <f aca="false">AG30/Inputs!$C$10</f>
        <v>0.0363385453402225</v>
      </c>
      <c r="AL30" s="5"/>
      <c r="AM30" s="66" t="n">
        <f aca="false">F30</f>
        <v>0.255555555555556</v>
      </c>
      <c r="AN30" s="5"/>
      <c r="AO30" s="5" t="n">
        <f aca="false">AO29+LN(1+($G30+AO$7)*$AM30)</f>
        <v>0.124232999459769</v>
      </c>
      <c r="AP30" s="5" t="n">
        <f aca="false">AP29+LN(1+($G30+AP$7)*$AM30)</f>
        <v>0.124726004966057</v>
      </c>
      <c r="AQ30" s="5" t="n">
        <f aca="false">AQ29+LN(1+($G30+AQ$7)*$AM30)</f>
        <v>0.140562030020114</v>
      </c>
      <c r="AR30" s="5" t="n">
        <f aca="false">AR29+LN(1+($G30+AR$7)*$AM30)</f>
        <v>0.14105462960361</v>
      </c>
      <c r="AS30" s="5" t="n">
        <f aca="false">AS29+LN(1+($G30+AS$7)*$AM30)</f>
        <v>0.140741090136128</v>
      </c>
      <c r="AT30" s="5" t="n">
        <f aca="false">AT29+LN(1+($G30+AT$7)*$AM30)</f>
        <v>0.141233685270246</v>
      </c>
      <c r="AU30" s="5" t="n">
        <f aca="false">AU29+LN(1+($G30+AU$7)*$AM30)</f>
        <v>0.140741051905088</v>
      </c>
      <c r="AV30" s="5" t="n">
        <f aca="false">AV29+LN(1+($G30+AV$7)*$AM30)</f>
        <v>0.141233647040156</v>
      </c>
      <c r="AW30" s="5" t="n">
        <f aca="false">AW29+LN(1+($G30+AW$7)*$AM30)</f>
        <v>0.140741051917909</v>
      </c>
      <c r="AX30" s="5" t="n">
        <f aca="false">AX29+LN(1+($G30+AX$7)*$AM30)</f>
        <v>0.141233647052979</v>
      </c>
      <c r="AY30" s="5" t="n">
        <f aca="false">AY29+LN(1+($G30+AY$7)*$AM30)</f>
        <v>0.140741051917907</v>
      </c>
      <c r="AZ30" s="5" t="n">
        <f aca="false">AZ29+LN(1+($G30+AZ$7)*$AM30)</f>
        <v>0.141233647052975</v>
      </c>
      <c r="BA30" s="5" t="n">
        <f aca="false">BA29+LN(1+($G30+BA$7)*$AM30)</f>
        <v>0.140741051917907</v>
      </c>
      <c r="BB30" s="5" t="n">
        <f aca="false">BB29+LN(1+($G30+BB$7)*$AM30)</f>
        <v>0.141233647052975</v>
      </c>
      <c r="BC30" s="5" t="n">
        <f aca="false">BC29+LN(1+($G30+BC$7)*$AM30)</f>
        <v>0.140741051917907</v>
      </c>
      <c r="BD30" s="5" t="n">
        <f aca="false">BD29+LN(1+($G30+BD$7)*$AM30)</f>
        <v>0.141233647052975</v>
      </c>
      <c r="BE30" s="5" t="n">
        <f aca="false">IF(AB30,O30,IF(D30,MIN(O30,AC30*X30+BF29),0))</f>
        <v>2685035.39735201</v>
      </c>
      <c r="BF30" s="5" t="n">
        <f aca="false">IF(OR(AB30,E30),0,BE30-AD30)</f>
        <v>0</v>
      </c>
      <c r="BG30" s="5" t="n">
        <f aca="false">BG29+LN(1+($G30+BG$7)*$AM30)</f>
        <v>0.135814427230309</v>
      </c>
      <c r="BH30" s="5"/>
      <c r="BI30" s="5" t="n">
        <f aca="false">BI29+LN(1+($G30+BI$7)*$AM30)</f>
        <v>0.145666452540063</v>
      </c>
      <c r="BJ30" s="5"/>
      <c r="BK30" s="62" t="n">
        <f aca="false">C30</f>
        <v>48075</v>
      </c>
      <c r="BL30" s="67" t="n">
        <f aca="false">AI30</f>
        <v>3032067.92914245</v>
      </c>
    </row>
    <row r="31" customFormat="false" ht="15" hidden="false" customHeight="true" outlineLevel="0" collapsed="false">
      <c r="A31" s="3" t="n">
        <v>21</v>
      </c>
      <c r="B31" s="38" t="n">
        <f aca="false">EDATE(Inputs!$C$8,3*(A31-1))</f>
        <v>48167</v>
      </c>
      <c r="C31" s="38" t="n">
        <f aca="false">WORKDAY(B31-1,1)</f>
        <v>48169</v>
      </c>
      <c r="D31" s="61" t="b">
        <f aca="false">C31&lt;=Inputs!$C$9</f>
        <v>1</v>
      </c>
      <c r="E31" s="61" t="b">
        <f aca="false">AND(D31,NOT(D32))</f>
        <v>0</v>
      </c>
      <c r="F31" s="63" t="n">
        <f aca="false">(C31-C30)/360</f>
        <v>0.261111111111111</v>
      </c>
      <c r="G31" s="57" t="n">
        <f aca="false">Curve!D24</f>
        <v>0.02252</v>
      </c>
      <c r="H31" s="64" t="n">
        <f aca="false">AF30</f>
        <v>57879646.2909458</v>
      </c>
      <c r="I31" s="64" t="n">
        <f aca="false">IF(D31,H31*Inputs!$G$22,0)</f>
        <v>14475.340957044</v>
      </c>
      <c r="J31" s="32" t="n">
        <f aca="false">MAX(Inputs!$G$24-(A31-1),1)</f>
        <v>25.5917704676111</v>
      </c>
      <c r="K31" s="64" t="n">
        <f aca="false">IF(D31,MIN(H31-I31,IF(J31&gt;1,(H31-I31)*Inputs!$G$23/((1+Inputs!$G$23)^J31-1),H31-I31)),0)</f>
        <v>2048198.30051162</v>
      </c>
      <c r="L31" s="64" t="n">
        <f aca="false">IF(D31,(H31-I31-K31)*Inputs!$G$21,0)</f>
        <v>601306.984526716</v>
      </c>
      <c r="M31" s="64" t="n">
        <f aca="false">IF(A31&gt;Inputs!$G$13,(1-Inputs!$G$12)*INDEX($I$11:$I$190,A31-Inputs!$G$13),0)</f>
        <v>16112.2691480161</v>
      </c>
      <c r="N31" s="64" t="n">
        <f aca="false">IF(D31,(H31-I31)*Inputs!$G$23,0)</f>
        <v>459160.131488161</v>
      </c>
      <c r="O31" s="64" t="n">
        <f aca="false">AG30</f>
        <v>51373618.4747396</v>
      </c>
      <c r="P31" s="64" t="n">
        <f aca="false">AH30</f>
        <v>6581390.33819556</v>
      </c>
      <c r="Q31" s="64" t="n">
        <f aca="false">IF(AND(D31,O31+P31&gt;0),Inputs!$C$25+Inputs!$C$26*H31/4,0)</f>
        <v>114469.911572736</v>
      </c>
      <c r="R31" s="64" t="n">
        <f aca="false">O31*IF(Inputs!$G$19="",G31+Inputs!$C$13,MAX(Inputs!$G$19,G31+Inputs!$C$13))*F31</f>
        <v>336965.271755647</v>
      </c>
      <c r="S31" s="64" t="n">
        <f aca="false">P31*(G31+Inputs!$C$14)*F31</f>
        <v>50836.9481514706</v>
      </c>
      <c r="T31" s="64" t="n">
        <f aca="false">N31+M31-Q31-R31-S31</f>
        <v>-26999.7308436777</v>
      </c>
      <c r="U31" s="64" t="n">
        <f aca="false">W30</f>
        <v>78800.9619893246</v>
      </c>
      <c r="V31" s="64" t="n">
        <f aca="false">MIN(U31+I31,MAX(T31,0))</f>
        <v>0</v>
      </c>
      <c r="W31" s="64" t="n">
        <f aca="false">U31+I31-V31</f>
        <v>93276.3029463686</v>
      </c>
      <c r="X31" s="64" t="n">
        <f aca="false">K31+L31+V31+IF(E31,H31-I31-K31-L31,0)</f>
        <v>2649505.28503834</v>
      </c>
      <c r="Y31" s="61" t="b">
        <f aca="false">AND(Inputs!$C$21=1,O31/Inputs!$C$10&lt;=Inputs!$C$22,Inputs!$G$14&lt;Inputs!$C$23,W31&lt;1)</f>
        <v>0</v>
      </c>
      <c r="Z31" s="61" t="b">
        <f aca="false">OR(AND(Inputs!$G$15=1,H31/Inputs!$C$17&lt;=Inputs!$C$24),AND(Inputs!$G$15=2,C31&gt;=Inputs!$G$16))</f>
        <v>0</v>
      </c>
      <c r="AA31" s="61" t="b">
        <f aca="false">OR(AA30,Z31)</f>
        <v>0</v>
      </c>
      <c r="AB31" s="61" t="b">
        <f aca="false">AND(Z31,NOT(AA30),D31,O31&gt;0)</f>
        <v>0</v>
      </c>
      <c r="AC31" s="63" t="n">
        <f aca="false">IF(AND(Y31,NOT(E31),O31+P31&gt;0),O31/(O31+P31),1)</f>
        <v>1</v>
      </c>
      <c r="AD31" s="64" t="n">
        <f aca="false">IF(AB31,O31,IF(D31,MIN(O31,IF(E31,AC31*X31+BF30,BE31*Inputs!$G$20)),0))</f>
        <v>2649505.28503834</v>
      </c>
      <c r="AE31" s="64" t="n">
        <f aca="false">IF(AB31,P31,IF(D31,MAX(MIN(P31,X31-MIN(O31,AC31*X31)),0),0))</f>
        <v>0</v>
      </c>
      <c r="AF31" s="64" t="n">
        <f aca="false">IF(OR(AB31,E31),0,MAX(H31-I31-K31-L31,0))</f>
        <v>55215665.6649504</v>
      </c>
      <c r="AG31" s="64" t="n">
        <f aca="false">IF(E31,0,O31-AD31)</f>
        <v>48724113.1897012</v>
      </c>
      <c r="AH31" s="64" t="n">
        <f aca="false">IF(OR(AB31,E31),0,P31-AE31)</f>
        <v>6581390.33819556</v>
      </c>
      <c r="AI31" s="64" t="n">
        <f aca="false">IF(D31,R31+AD31,0)</f>
        <v>2986470.55679398</v>
      </c>
      <c r="AJ31" s="65" t="n">
        <f aca="false">(C31-Inputs!$G$6)/365</f>
        <v>5.15068493150685</v>
      </c>
      <c r="AK31" s="29" t="n">
        <f aca="false">AG31/Inputs!$C$10</f>
        <v>0.0344644478795411</v>
      </c>
      <c r="AL31" s="5"/>
      <c r="AM31" s="66" t="n">
        <f aca="false">F31</f>
        <v>0.261111111111111</v>
      </c>
      <c r="AN31" s="5"/>
      <c r="AO31" s="5" t="n">
        <f aca="false">AO30+LN(1+($G31+AO$7)*$AM31)</f>
        <v>0.130770693203181</v>
      </c>
      <c r="AP31" s="5" t="n">
        <f aca="false">AP30+LN(1+($G31+AP$7)*$AM31)</f>
        <v>0.13128963933447</v>
      </c>
      <c r="AQ31" s="5" t="n">
        <f aca="false">AQ30+LN(1+($G31+AQ$7)*$AM31)</f>
        <v>0.147958898698795</v>
      </c>
      <c r="AR31" s="5" t="n">
        <f aca="false">AR30+LN(1+($G31+AR$7)*$AM31)</f>
        <v>0.148477416629618</v>
      </c>
      <c r="AS31" s="5" t="n">
        <f aca="false">AS30+LN(1+($G31+AS$7)*$AM31)</f>
        <v>0.148147380146077</v>
      </c>
      <c r="AT31" s="5" t="n">
        <f aca="false">AT30+LN(1+($G31+AT$7)*$AM31)</f>
        <v>0.148665893383342</v>
      </c>
      <c r="AU31" s="5" t="n">
        <f aca="false">AU30+LN(1+($G31+AU$7)*$AM31)</f>
        <v>0.148147339903494</v>
      </c>
      <c r="AV31" s="5" t="n">
        <f aca="false">AV30+LN(1+($G31+AV$7)*$AM31)</f>
        <v>0.148665853141761</v>
      </c>
      <c r="AW31" s="5" t="n">
        <f aca="false">AW30+LN(1+($G31+AW$7)*$AM31)</f>
        <v>0.14814733991699</v>
      </c>
      <c r="AX31" s="5" t="n">
        <f aca="false">AX30+LN(1+($G31+AX$7)*$AM31)</f>
        <v>0.148665853155258</v>
      </c>
      <c r="AY31" s="5" t="n">
        <f aca="false">AY30+LN(1+($G31+AY$7)*$AM31)</f>
        <v>0.148147339916987</v>
      </c>
      <c r="AZ31" s="5" t="n">
        <f aca="false">AZ30+LN(1+($G31+AZ$7)*$AM31)</f>
        <v>0.148665853155253</v>
      </c>
      <c r="BA31" s="5" t="n">
        <f aca="false">BA30+LN(1+($G31+BA$7)*$AM31)</f>
        <v>0.148147339916987</v>
      </c>
      <c r="BB31" s="5" t="n">
        <f aca="false">BB30+LN(1+($G31+BB$7)*$AM31)</f>
        <v>0.148665853155253</v>
      </c>
      <c r="BC31" s="5" t="n">
        <f aca="false">BC30+LN(1+($G31+BC$7)*$AM31)</f>
        <v>0.148147339916987</v>
      </c>
      <c r="BD31" s="5" t="n">
        <f aca="false">BD30+LN(1+($G31+BD$7)*$AM31)</f>
        <v>0.148665853155253</v>
      </c>
      <c r="BE31" s="5" t="n">
        <f aca="false">IF(AB31,O31,IF(D31,MIN(O31,AC31*X31+BF30),0))</f>
        <v>2649505.28503834</v>
      </c>
      <c r="BF31" s="5" t="n">
        <f aca="false">IF(OR(AB31,E31),0,BE31-AD31)</f>
        <v>0</v>
      </c>
      <c r="BG31" s="5" t="n">
        <f aca="false">BG30+LN(1+($G31+BG$7)*$AM31)</f>
        <v>0.142961497244558</v>
      </c>
      <c r="BH31" s="5"/>
      <c r="BI31" s="5" t="n">
        <f aca="false">BI30+LN(1+($G31+BI$7)*$AM31)</f>
        <v>0.153331891347425</v>
      </c>
      <c r="BJ31" s="5"/>
      <c r="BK31" s="62" t="n">
        <f aca="false">C31</f>
        <v>48169</v>
      </c>
      <c r="BL31" s="67" t="n">
        <f aca="false">AI31</f>
        <v>2986470.55679398</v>
      </c>
    </row>
    <row r="32" customFormat="false" ht="15" hidden="false" customHeight="true" outlineLevel="0" collapsed="false">
      <c r="A32" s="3" t="n">
        <v>22</v>
      </c>
      <c r="B32" s="38" t="n">
        <f aca="false">EDATE(Inputs!$C$8,3*(A32-1))</f>
        <v>48259</v>
      </c>
      <c r="C32" s="38" t="n">
        <f aca="false">WORKDAY(B32-1,1)</f>
        <v>48260</v>
      </c>
      <c r="D32" s="61" t="b">
        <f aca="false">C32&lt;=Inputs!$C$9</f>
        <v>1</v>
      </c>
      <c r="E32" s="61" t="b">
        <f aca="false">AND(D32,NOT(D33))</f>
        <v>0</v>
      </c>
      <c r="F32" s="63" t="n">
        <f aca="false">(C32-C31)/360</f>
        <v>0.252777777777778</v>
      </c>
      <c r="G32" s="57" t="n">
        <f aca="false">Curve!D25</f>
        <v>0.02252</v>
      </c>
      <c r="H32" s="64" t="n">
        <f aca="false">AF31</f>
        <v>55215665.6649504</v>
      </c>
      <c r="I32" s="64" t="n">
        <f aca="false">IF(D32,H32*Inputs!$G$22,0)</f>
        <v>13809.0959065749</v>
      </c>
      <c r="J32" s="32" t="n">
        <f aca="false">MAX(Inputs!$G$24-(A32-1),1)</f>
        <v>24.5917704676111</v>
      </c>
      <c r="K32" s="64" t="n">
        <f aca="false">IF(D32,MIN(H32-I32,IF(J32&gt;1,(H32-I32)*Inputs!$G$23/((1+Inputs!$G$23)^J32-1),H32-I32)),0)</f>
        <v>2041700.02435048</v>
      </c>
      <c r="L32" s="64" t="n">
        <f aca="false">IF(D32,(H32-I32-K32)*Inputs!$G$21,0)</f>
        <v>572685.54548089</v>
      </c>
      <c r="M32" s="64" t="n">
        <f aca="false">IF(A32&gt;Inputs!$G$13,(1-Inputs!$G$12)*INDEX($I$11:$I$190,A32-Inputs!$G$13),0)</f>
        <v>15518.8918901212</v>
      </c>
      <c r="N32" s="64" t="n">
        <f aca="false">IF(D32,(H32-I32)*Inputs!$G$23,0)</f>
        <v>438026.731875363</v>
      </c>
      <c r="O32" s="64" t="n">
        <f aca="false">AG31</f>
        <v>48724113.1897012</v>
      </c>
      <c r="P32" s="64" t="n">
        <f aca="false">AH31</f>
        <v>6581390.33819556</v>
      </c>
      <c r="Q32" s="64" t="n">
        <f aca="false">IF(AND(D32,O32+P32&gt;0),Inputs!$C$25+Inputs!$C$26*H32/4,0)</f>
        <v>113803.916416238</v>
      </c>
      <c r="R32" s="64" t="n">
        <f aca="false">O32*IF(Inputs!$G$19="",G32+Inputs!$C$13,MAX(Inputs!$G$19,G32+Inputs!$C$13))*F32</f>
        <v>309387.291173894</v>
      </c>
      <c r="S32" s="64" t="n">
        <f aca="false">P32*(G32+Inputs!$C$14)*F32</f>
        <v>49214.4923594024</v>
      </c>
      <c r="T32" s="64" t="n">
        <f aca="false">N32+M32-Q32-R32-S32</f>
        <v>-18860.0761840501</v>
      </c>
      <c r="U32" s="64" t="n">
        <f aca="false">W31</f>
        <v>93276.3029463686</v>
      </c>
      <c r="V32" s="64" t="n">
        <f aca="false">MIN(U32+I32,MAX(T32,0))</f>
        <v>0</v>
      </c>
      <c r="W32" s="64" t="n">
        <f aca="false">U32+I32-V32</f>
        <v>107085.398852943</v>
      </c>
      <c r="X32" s="64" t="n">
        <f aca="false">K32+L32+V32+IF(E32,H32-I32-K32-L32,0)</f>
        <v>2614385.56983137</v>
      </c>
      <c r="Y32" s="61" t="b">
        <f aca="false">AND(Inputs!$C$21=1,O32/Inputs!$C$10&lt;=Inputs!$C$22,Inputs!$G$14&lt;Inputs!$C$23,W32&lt;1)</f>
        <v>0</v>
      </c>
      <c r="Z32" s="61" t="b">
        <f aca="false">OR(AND(Inputs!$G$15=1,H32/Inputs!$C$17&lt;=Inputs!$C$24),AND(Inputs!$G$15=2,C32&gt;=Inputs!$G$16))</f>
        <v>0</v>
      </c>
      <c r="AA32" s="61" t="b">
        <f aca="false">OR(AA31,Z32)</f>
        <v>0</v>
      </c>
      <c r="AB32" s="61" t="b">
        <f aca="false">AND(Z32,NOT(AA31),D32,O32&gt;0)</f>
        <v>0</v>
      </c>
      <c r="AC32" s="63" t="n">
        <f aca="false">IF(AND(Y32,NOT(E32),O32+P32&gt;0),O32/(O32+P32),1)</f>
        <v>1</v>
      </c>
      <c r="AD32" s="64" t="n">
        <f aca="false">IF(AB32,O32,IF(D32,MIN(O32,IF(E32,AC32*X32+BF31,BE32*Inputs!$G$20)),0))</f>
        <v>2614385.56983137</v>
      </c>
      <c r="AE32" s="64" t="n">
        <f aca="false">IF(AB32,P32,IF(D32,MAX(MIN(P32,X32-MIN(O32,AC32*X32)),0),0))</f>
        <v>0</v>
      </c>
      <c r="AF32" s="64" t="n">
        <f aca="false">IF(OR(AB32,E32),0,MAX(H32-I32-K32-L32,0))</f>
        <v>52587470.9992125</v>
      </c>
      <c r="AG32" s="64" t="n">
        <f aca="false">IF(E32,0,O32-AD32)</f>
        <v>46109727.6198699</v>
      </c>
      <c r="AH32" s="64" t="n">
        <f aca="false">IF(OR(AB32,E32),0,P32-AE32)</f>
        <v>6581390.33819556</v>
      </c>
      <c r="AI32" s="64" t="n">
        <f aca="false">IF(D32,R32+AD32,0)</f>
        <v>2923772.86100526</v>
      </c>
      <c r="AJ32" s="65" t="n">
        <f aca="false">(C32-Inputs!$G$6)/365</f>
        <v>5.4</v>
      </c>
      <c r="AK32" s="29" t="n">
        <f aca="false">AG32/Inputs!$C$10</f>
        <v>0.0326151919503943</v>
      </c>
      <c r="AL32" s="5"/>
      <c r="AM32" s="66" t="n">
        <f aca="false">F32</f>
        <v>0.252777777777778</v>
      </c>
      <c r="AN32" s="5"/>
      <c r="AO32" s="5" t="n">
        <f aca="false">AO31+LN(1+($G32+AO$7)*$AM32)</f>
        <v>0.137100396078011</v>
      </c>
      <c r="AP32" s="5" t="n">
        <f aca="false">AP31+LN(1+($G32+AP$7)*$AM32)</f>
        <v>0.137644460176109</v>
      </c>
      <c r="AQ32" s="5" t="n">
        <f aca="false">AQ31+LN(1+($G32+AQ$7)*$AM32)</f>
        <v>0.155120540378477</v>
      </c>
      <c r="AR32" s="5" t="n">
        <f aca="false">AR31+LN(1+($G32+AR$7)*$AM32)</f>
        <v>0.15566415538845</v>
      </c>
      <c r="AS32" s="5" t="n">
        <f aca="false">AS31+LN(1+($G32+AS$7)*$AM32)</f>
        <v>0.15531814462328</v>
      </c>
      <c r="AT32" s="5" t="n">
        <f aca="false">AT31+LN(1+($G32+AT$7)*$AM32)</f>
        <v>0.155861754710743</v>
      </c>
      <c r="AU32" s="5" t="n">
        <f aca="false">AU31+LN(1+($G32+AU$7)*$AM32)</f>
        <v>0.155318102432893</v>
      </c>
      <c r="AV32" s="5" t="n">
        <f aca="false">AV31+LN(1+($G32+AV$7)*$AM32)</f>
        <v>0.155861712521406</v>
      </c>
      <c r="AW32" s="5" t="n">
        <f aca="false">AW31+LN(1+($G32+AW$7)*$AM32)</f>
        <v>0.155318102447042</v>
      </c>
      <c r="AX32" s="5" t="n">
        <f aca="false">AX31+LN(1+($G32+AX$7)*$AM32)</f>
        <v>0.155861712535557</v>
      </c>
      <c r="AY32" s="5" t="n">
        <f aca="false">AY31+LN(1+($G32+AY$7)*$AM32)</f>
        <v>0.155318102447039</v>
      </c>
      <c r="AZ32" s="5" t="n">
        <f aca="false">AZ31+LN(1+($G32+AZ$7)*$AM32)</f>
        <v>0.155861712535552</v>
      </c>
      <c r="BA32" s="5" t="n">
        <f aca="false">BA31+LN(1+($G32+BA$7)*$AM32)</f>
        <v>0.155318102447039</v>
      </c>
      <c r="BB32" s="5" t="n">
        <f aca="false">BB31+LN(1+($G32+BB$7)*$AM32)</f>
        <v>0.155861712535552</v>
      </c>
      <c r="BC32" s="5" t="n">
        <f aca="false">BC31+LN(1+($G32+BC$7)*$AM32)</f>
        <v>0.155318102447039</v>
      </c>
      <c r="BD32" s="5" t="n">
        <f aca="false">BD31+LN(1+($G32+BD$7)*$AM32)</f>
        <v>0.155861712535552</v>
      </c>
      <c r="BE32" s="5" t="n">
        <f aca="false">IF(AB32,O32,IF(D32,MIN(O32,AC32*X32+BF31),0))</f>
        <v>2614385.56983137</v>
      </c>
      <c r="BF32" s="5" t="n">
        <f aca="false">IF(OR(AB32,E32),0,BE32-AD32)</f>
        <v>0</v>
      </c>
      <c r="BG32" s="5" t="n">
        <f aca="false">BG31+LN(1+($G32+BG$7)*$AM32)</f>
        <v>0.149881256624205</v>
      </c>
      <c r="BH32" s="5"/>
      <c r="BI32" s="5" t="n">
        <f aca="false">BI31+LN(1+($G32+BI$7)*$AM32)</f>
        <v>0.16075359404111</v>
      </c>
      <c r="BJ32" s="5"/>
      <c r="BK32" s="62" t="n">
        <f aca="false">C32</f>
        <v>48260</v>
      </c>
      <c r="BL32" s="67" t="n">
        <f aca="false">AI32</f>
        <v>2923772.86100526</v>
      </c>
    </row>
    <row r="33" customFormat="false" ht="15" hidden="false" customHeight="true" outlineLevel="0" collapsed="false">
      <c r="A33" s="3" t="n">
        <v>23</v>
      </c>
      <c r="B33" s="38" t="n">
        <f aca="false">EDATE(Inputs!$C$8,3*(A33-1))</f>
        <v>48349</v>
      </c>
      <c r="C33" s="38" t="n">
        <f aca="false">WORKDAY(B33-1,1)</f>
        <v>48351</v>
      </c>
      <c r="D33" s="61" t="b">
        <f aca="false">C33&lt;=Inputs!$C$9</f>
        <v>1</v>
      </c>
      <c r="E33" s="61" t="b">
        <f aca="false">AND(D33,NOT(D34))</f>
        <v>0</v>
      </c>
      <c r="F33" s="63" t="n">
        <f aca="false">(C33-C32)/360</f>
        <v>0.252777777777778</v>
      </c>
      <c r="G33" s="57" t="n">
        <f aca="false">Curve!D26</f>
        <v>0.02252</v>
      </c>
      <c r="H33" s="64" t="n">
        <f aca="false">AF32</f>
        <v>52587470.9992125</v>
      </c>
      <c r="I33" s="64" t="n">
        <f aca="false">IF(D33,H33*Inputs!$G$22,0)</f>
        <v>13151.8007030624</v>
      </c>
      <c r="J33" s="32" t="n">
        <f aca="false">MAX(Inputs!$G$24-(A33-1),1)</f>
        <v>23.5917704676111</v>
      </c>
      <c r="K33" s="64" t="n">
        <f aca="false">IF(D33,MIN(H33-I33,IF(J33&gt;1,(H33-I33)*Inputs!$G$23/((1+Inputs!$G$23)^J33-1),H33-I33)),0)</f>
        <v>2035222.365135</v>
      </c>
      <c r="L33" s="64" t="n">
        <f aca="false">IF(D33,(H33-I33-K33)*Inputs!$G$21,0)</f>
        <v>544449.304128728</v>
      </c>
      <c r="M33" s="64" t="n">
        <f aca="false">IF(A33&gt;Inputs!$G$13,(1-Inputs!$G$12)*INDEX($I$11:$I$190,A33-Inputs!$G$13),0)</f>
        <v>14933.3730399415</v>
      </c>
      <c r="N33" s="64" t="n">
        <f aca="false">IF(D33,(H33-I33)*Inputs!$G$23,0)</f>
        <v>417177.222840172</v>
      </c>
      <c r="O33" s="64" t="n">
        <f aca="false">AG32</f>
        <v>46109727.6198699</v>
      </c>
      <c r="P33" s="64" t="n">
        <f aca="false">AH32</f>
        <v>6581390.33819556</v>
      </c>
      <c r="Q33" s="64" t="n">
        <f aca="false">IF(AND(D33,O33+P33&gt;0),Inputs!$C$25+Inputs!$C$26*H33/4,0)</f>
        <v>113146.867749803</v>
      </c>
      <c r="R33" s="64" t="n">
        <f aca="false">O33*IF(Inputs!$G$19="",G33+Inputs!$C$13,MAX(Inputs!$G$19,G33+Inputs!$C$13))*F33</f>
        <v>292786.523780036</v>
      </c>
      <c r="S33" s="64" t="n">
        <f aca="false">P33*(G33+Inputs!$C$14)*F33</f>
        <v>49214.4923594024</v>
      </c>
      <c r="T33" s="64" t="n">
        <f aca="false">N33+M33-Q33-R33-S33</f>
        <v>-23037.2880091279</v>
      </c>
      <c r="U33" s="64" t="n">
        <f aca="false">W32</f>
        <v>107085.398852943</v>
      </c>
      <c r="V33" s="64" t="n">
        <f aca="false">MIN(U33+I33,MAX(T33,0))</f>
        <v>0</v>
      </c>
      <c r="W33" s="64" t="n">
        <f aca="false">U33+I33-V33</f>
        <v>120237.199556006</v>
      </c>
      <c r="X33" s="64" t="n">
        <f aca="false">K33+L33+V33+IF(E33,H33-I33-K33-L33,0)</f>
        <v>2579671.66926373</v>
      </c>
      <c r="Y33" s="61" t="b">
        <f aca="false">AND(Inputs!$C$21=1,O33/Inputs!$C$10&lt;=Inputs!$C$22,Inputs!$G$14&lt;Inputs!$C$23,W33&lt;1)</f>
        <v>0</v>
      </c>
      <c r="Z33" s="61" t="b">
        <f aca="false">OR(AND(Inputs!$G$15=1,H33/Inputs!$C$17&lt;=Inputs!$C$24),AND(Inputs!$G$15=2,C33&gt;=Inputs!$G$16))</f>
        <v>0</v>
      </c>
      <c r="AA33" s="61" t="b">
        <f aca="false">OR(AA32,Z33)</f>
        <v>0</v>
      </c>
      <c r="AB33" s="61" t="b">
        <f aca="false">AND(Z33,NOT(AA32),D33,O33&gt;0)</f>
        <v>0</v>
      </c>
      <c r="AC33" s="63" t="n">
        <f aca="false">IF(AND(Y33,NOT(E33),O33+P33&gt;0),O33/(O33+P33),1)</f>
        <v>1</v>
      </c>
      <c r="AD33" s="64" t="n">
        <f aca="false">IF(AB33,O33,IF(D33,MIN(O33,IF(E33,AC33*X33+BF32,BE33*Inputs!$G$20)),0))</f>
        <v>2579671.66926373</v>
      </c>
      <c r="AE33" s="64" t="n">
        <f aca="false">IF(AB33,P33,IF(D33,MAX(MIN(P33,X33-MIN(O33,AC33*X33)),0),0))</f>
        <v>0</v>
      </c>
      <c r="AF33" s="64" t="n">
        <f aca="false">IF(OR(AB33,E33),0,MAX(H33-I33-K33-L33,0))</f>
        <v>49994647.5292457</v>
      </c>
      <c r="AG33" s="64" t="n">
        <f aca="false">IF(E33,0,O33-AD33)</f>
        <v>43530055.9506061</v>
      </c>
      <c r="AH33" s="64" t="n">
        <f aca="false">IF(OR(AB33,E33),0,P33-AE33)</f>
        <v>6581390.33819556</v>
      </c>
      <c r="AI33" s="64" t="n">
        <f aca="false">IF(D33,R33+AD33,0)</f>
        <v>2872458.19304377</v>
      </c>
      <c r="AJ33" s="65" t="n">
        <f aca="false">(C33-Inputs!$G$6)/365</f>
        <v>5.64931506849315</v>
      </c>
      <c r="AK33" s="29" t="n">
        <f aca="false">AG33/Inputs!$C$10</f>
        <v>0.0307904905044075</v>
      </c>
      <c r="AL33" s="5"/>
      <c r="AM33" s="66" t="n">
        <f aca="false">F33</f>
        <v>0.252777777777778</v>
      </c>
      <c r="AN33" s="5"/>
      <c r="AO33" s="5" t="n">
        <f aca="false">AO32+LN(1+($G33+AO$7)*$AM33)</f>
        <v>0.143430098952841</v>
      </c>
      <c r="AP33" s="5" t="n">
        <f aca="false">AP32+LN(1+($G33+AP$7)*$AM33)</f>
        <v>0.143999281017747</v>
      </c>
      <c r="AQ33" s="5" t="n">
        <f aca="false">AQ32+LN(1+($G33+AQ$7)*$AM33)</f>
        <v>0.16228218205816</v>
      </c>
      <c r="AR33" s="5" t="n">
        <f aca="false">AR32+LN(1+($G33+AR$7)*$AM33)</f>
        <v>0.162850894147281</v>
      </c>
      <c r="AS33" s="5" t="n">
        <f aca="false">AS32+LN(1+($G33+AS$7)*$AM33)</f>
        <v>0.162488909100484</v>
      </c>
      <c r="AT33" s="5" t="n">
        <f aca="false">AT32+LN(1+($G33+AT$7)*$AM33)</f>
        <v>0.163057616038144</v>
      </c>
      <c r="AU33" s="5" t="n">
        <f aca="false">AU32+LN(1+($G33+AU$7)*$AM33)</f>
        <v>0.162488864962292</v>
      </c>
      <c r="AV33" s="5" t="n">
        <f aca="false">AV32+LN(1+($G33+AV$7)*$AM33)</f>
        <v>0.163057571901052</v>
      </c>
      <c r="AW33" s="5" t="n">
        <f aca="false">AW32+LN(1+($G33+AW$7)*$AM33)</f>
        <v>0.162488864977095</v>
      </c>
      <c r="AX33" s="5" t="n">
        <f aca="false">AX32+LN(1+($G33+AX$7)*$AM33)</f>
        <v>0.163057571915856</v>
      </c>
      <c r="AY33" s="5" t="n">
        <f aca="false">AY32+LN(1+($G33+AY$7)*$AM33)</f>
        <v>0.162488864977092</v>
      </c>
      <c r="AZ33" s="5" t="n">
        <f aca="false">AZ32+LN(1+($G33+AZ$7)*$AM33)</f>
        <v>0.16305757191585</v>
      </c>
      <c r="BA33" s="5" t="n">
        <f aca="false">BA32+LN(1+($G33+BA$7)*$AM33)</f>
        <v>0.162488864977092</v>
      </c>
      <c r="BB33" s="5" t="n">
        <f aca="false">BB32+LN(1+($G33+BB$7)*$AM33)</f>
        <v>0.16305757191585</v>
      </c>
      <c r="BC33" s="5" t="n">
        <f aca="false">BC32+LN(1+($G33+BC$7)*$AM33)</f>
        <v>0.162488864977092</v>
      </c>
      <c r="BD33" s="5" t="n">
        <f aca="false">BD32+LN(1+($G33+BD$7)*$AM33)</f>
        <v>0.16305757191585</v>
      </c>
      <c r="BE33" s="5" t="n">
        <f aca="false">IF(AB33,O33,IF(D33,MIN(O33,AC33*X33+BF32),0))</f>
        <v>2579671.66926373</v>
      </c>
      <c r="BF33" s="5" t="n">
        <f aca="false">IF(OR(AB33,E33),0,BE33-AD33)</f>
        <v>0</v>
      </c>
      <c r="BG33" s="5" t="n">
        <f aca="false">BG32+LN(1+($G33+BG$7)*$AM33)</f>
        <v>0.156801016003851</v>
      </c>
      <c r="BH33" s="5"/>
      <c r="BI33" s="5" t="n">
        <f aca="false">BI32+LN(1+($G33+BI$7)*$AM33)</f>
        <v>0.168175296734796</v>
      </c>
      <c r="BJ33" s="5"/>
      <c r="BK33" s="62" t="n">
        <f aca="false">C33</f>
        <v>48351</v>
      </c>
      <c r="BL33" s="67" t="n">
        <f aca="false">AI33</f>
        <v>2872458.19304377</v>
      </c>
    </row>
    <row r="34" customFormat="false" ht="15" hidden="false" customHeight="true" outlineLevel="0" collapsed="false">
      <c r="A34" s="3" t="n">
        <v>24</v>
      </c>
      <c r="B34" s="38" t="n">
        <f aca="false">EDATE(Inputs!$C$8,3*(A34-1))</f>
        <v>48441</v>
      </c>
      <c r="C34" s="38" t="n">
        <f aca="false">WORKDAY(B34-1,1)</f>
        <v>48442</v>
      </c>
      <c r="D34" s="61" t="b">
        <f aca="false">C34&lt;=Inputs!$C$9</f>
        <v>1</v>
      </c>
      <c r="E34" s="61" t="b">
        <f aca="false">AND(D34,NOT(D35))</f>
        <v>0</v>
      </c>
      <c r="F34" s="63" t="n">
        <f aca="false">(C34-C33)/360</f>
        <v>0.252777777777778</v>
      </c>
      <c r="G34" s="57" t="n">
        <f aca="false">Curve!D27</f>
        <v>0.02252</v>
      </c>
      <c r="H34" s="64" t="n">
        <f aca="false">AF33</f>
        <v>49994647.5292457</v>
      </c>
      <c r="I34" s="64" t="n">
        <f aca="false">IF(D34,H34*Inputs!$G$22,0)</f>
        <v>12503.3516164779</v>
      </c>
      <c r="J34" s="32" t="n">
        <f aca="false">MAX(Inputs!$G$24-(A34-1),1)</f>
        <v>22.5917704676111</v>
      </c>
      <c r="K34" s="64" t="n">
        <f aca="false">IF(D34,MIN(H34-I34,IF(J34&gt;1,(H34-I34)*Inputs!$G$23/((1+Inputs!$G$23)^J34-1),H34-I34)),0)</f>
        <v>2028765.25745423</v>
      </c>
      <c r="L34" s="64" t="n">
        <f aca="false">IF(D34,(H34-I34-K34)*Inputs!$G$21,0)</f>
        <v>516593.79410337</v>
      </c>
      <c r="M34" s="64" t="n">
        <f aca="false">IF(A34&gt;Inputs!$G$13,(1-Inputs!$G$12)*INDEX($I$11:$I$190,A34-Inputs!$G$13),0)</f>
        <v>14355.6218104256</v>
      </c>
      <c r="N34" s="64" t="n">
        <f aca="false">IF(D34,(H34-I34)*Inputs!$G$23,0)</f>
        <v>396608.314049487</v>
      </c>
      <c r="O34" s="64" t="n">
        <f aca="false">AG33</f>
        <v>43530055.9506061</v>
      </c>
      <c r="P34" s="64" t="n">
        <f aca="false">AH33</f>
        <v>6581390.33819556</v>
      </c>
      <c r="Q34" s="64" t="n">
        <f aca="false">IF(AND(D34,O34+P34&gt;0),Inputs!$C$25+Inputs!$C$26*H34/4,0)</f>
        <v>112498.661882311</v>
      </c>
      <c r="R34" s="64" t="n">
        <f aca="false">O34*IF(Inputs!$G$19="",G34+Inputs!$C$13,MAX(Inputs!$G$19,G34+Inputs!$C$13))*F34</f>
        <v>276406.181940582</v>
      </c>
      <c r="S34" s="64" t="n">
        <f aca="false">P34*(G34+Inputs!$C$14)*F34</f>
        <v>49214.4923594024</v>
      </c>
      <c r="T34" s="64" t="n">
        <f aca="false">N34+M34-Q34-R34-S34</f>
        <v>-27155.4003223829</v>
      </c>
      <c r="U34" s="64" t="n">
        <f aca="false">W33</f>
        <v>120237.199556006</v>
      </c>
      <c r="V34" s="64" t="n">
        <f aca="false">MIN(U34+I34,MAX(T34,0))</f>
        <v>0</v>
      </c>
      <c r="W34" s="64" t="n">
        <f aca="false">U34+I34-V34</f>
        <v>132740.551172484</v>
      </c>
      <c r="X34" s="64" t="n">
        <f aca="false">K34+L34+V34+IF(E34,H34-I34-K34-L34,0)</f>
        <v>2545359.0515576</v>
      </c>
      <c r="Y34" s="61" t="b">
        <f aca="false">AND(Inputs!$C$21=1,O34/Inputs!$C$10&lt;=Inputs!$C$22,Inputs!$G$14&lt;Inputs!$C$23,W34&lt;1)</f>
        <v>0</v>
      </c>
      <c r="Z34" s="61" t="b">
        <f aca="false">OR(AND(Inputs!$G$15=1,H34/Inputs!$C$17&lt;=Inputs!$C$24),AND(Inputs!$G$15=2,C34&gt;=Inputs!$G$16))</f>
        <v>0</v>
      </c>
      <c r="AA34" s="61" t="b">
        <f aca="false">OR(AA33,Z34)</f>
        <v>0</v>
      </c>
      <c r="AB34" s="61" t="b">
        <f aca="false">AND(Z34,NOT(AA33),D34,O34&gt;0)</f>
        <v>0</v>
      </c>
      <c r="AC34" s="63" t="n">
        <f aca="false">IF(AND(Y34,NOT(E34),O34+P34&gt;0),O34/(O34+P34),1)</f>
        <v>1</v>
      </c>
      <c r="AD34" s="64" t="n">
        <f aca="false">IF(AB34,O34,IF(D34,MIN(O34,IF(E34,AC34*X34+BF33,BE34*Inputs!$G$20)),0))</f>
        <v>2545359.0515576</v>
      </c>
      <c r="AE34" s="64" t="n">
        <f aca="false">IF(AB34,P34,IF(D34,MAX(MIN(P34,X34-MIN(O34,AC34*X34)),0),0))</f>
        <v>0</v>
      </c>
      <c r="AF34" s="64" t="n">
        <f aca="false">IF(OR(AB34,E34),0,MAX(H34-I34-K34-L34,0))</f>
        <v>47436785.1260716</v>
      </c>
      <c r="AG34" s="64" t="n">
        <f aca="false">IF(E34,0,O34-AD34)</f>
        <v>40984696.8990485</v>
      </c>
      <c r="AH34" s="64" t="n">
        <f aca="false">IF(OR(AB34,E34),0,P34-AE34)</f>
        <v>6581390.33819556</v>
      </c>
      <c r="AI34" s="64" t="n">
        <f aca="false">IF(D34,R34+AD34,0)</f>
        <v>2821765.23349819</v>
      </c>
      <c r="AJ34" s="65" t="n">
        <f aca="false">(C34-Inputs!$G$6)/365</f>
        <v>5.8986301369863</v>
      </c>
      <c r="AK34" s="29" t="n">
        <f aca="false">AG34/Inputs!$C$10</f>
        <v>0.0289900596987081</v>
      </c>
      <c r="AL34" s="5"/>
      <c r="AM34" s="66" t="n">
        <f aca="false">F34</f>
        <v>0.252777777777778</v>
      </c>
      <c r="AN34" s="5"/>
      <c r="AO34" s="5" t="n">
        <f aca="false">AO33+LN(1+($G34+AO$7)*$AM34)</f>
        <v>0.149759801827671</v>
      </c>
      <c r="AP34" s="5" t="n">
        <f aca="false">AP33+LN(1+($G34+AP$7)*$AM34)</f>
        <v>0.150354101859386</v>
      </c>
      <c r="AQ34" s="5" t="n">
        <f aca="false">AQ33+LN(1+($G34+AQ$7)*$AM34)</f>
        <v>0.169443823737843</v>
      </c>
      <c r="AR34" s="5" t="n">
        <f aca="false">AR33+LN(1+($G34+AR$7)*$AM34)</f>
        <v>0.170037632906113</v>
      </c>
      <c r="AS34" s="5" t="n">
        <f aca="false">AS33+LN(1+($G34+AS$7)*$AM34)</f>
        <v>0.169659673577687</v>
      </c>
      <c r="AT34" s="5" t="n">
        <f aca="false">AT33+LN(1+($G34+AT$7)*$AM34)</f>
        <v>0.170253477365545</v>
      </c>
      <c r="AU34" s="5" t="n">
        <f aca="false">AU33+LN(1+($G34+AU$7)*$AM34)</f>
        <v>0.169659627491691</v>
      </c>
      <c r="AV34" s="5" t="n">
        <f aca="false">AV33+LN(1+($G34+AV$7)*$AM34)</f>
        <v>0.170253431280698</v>
      </c>
      <c r="AW34" s="5" t="n">
        <f aca="false">AW33+LN(1+($G34+AW$7)*$AM34)</f>
        <v>0.169659627507147</v>
      </c>
      <c r="AX34" s="5" t="n">
        <f aca="false">AX33+LN(1+($G34+AX$7)*$AM34)</f>
        <v>0.170253431296154</v>
      </c>
      <c r="AY34" s="5" t="n">
        <f aca="false">AY33+LN(1+($G34+AY$7)*$AM34)</f>
        <v>0.169659627507144</v>
      </c>
      <c r="AZ34" s="5" t="n">
        <f aca="false">AZ33+LN(1+($G34+AZ$7)*$AM34)</f>
        <v>0.170253431296149</v>
      </c>
      <c r="BA34" s="5" t="n">
        <f aca="false">BA33+LN(1+($G34+BA$7)*$AM34)</f>
        <v>0.169659627507144</v>
      </c>
      <c r="BB34" s="5" t="n">
        <f aca="false">BB33+LN(1+($G34+BB$7)*$AM34)</f>
        <v>0.170253431296149</v>
      </c>
      <c r="BC34" s="5" t="n">
        <f aca="false">BC33+LN(1+($G34+BC$7)*$AM34)</f>
        <v>0.169659627507144</v>
      </c>
      <c r="BD34" s="5" t="n">
        <f aca="false">BD33+LN(1+($G34+BD$7)*$AM34)</f>
        <v>0.170253431296149</v>
      </c>
      <c r="BE34" s="5" t="n">
        <f aca="false">IF(AB34,O34,IF(D34,MIN(O34,AC34*X34+BF33),0))</f>
        <v>2545359.0515576</v>
      </c>
      <c r="BF34" s="5" t="n">
        <f aca="false">IF(OR(AB34,E34),0,BE34-AD34)</f>
        <v>0</v>
      </c>
      <c r="BG34" s="5" t="n">
        <f aca="false">BG33+LN(1+($G34+BG$7)*$AM34)</f>
        <v>0.163720775383498</v>
      </c>
      <c r="BH34" s="5"/>
      <c r="BI34" s="5" t="n">
        <f aca="false">BI33+LN(1+($G34+BI$7)*$AM34)</f>
        <v>0.175596999428481</v>
      </c>
      <c r="BJ34" s="5"/>
      <c r="BK34" s="62" t="n">
        <f aca="false">C34</f>
        <v>48442</v>
      </c>
      <c r="BL34" s="67" t="n">
        <f aca="false">AI34</f>
        <v>2821765.23349819</v>
      </c>
    </row>
    <row r="35" customFormat="false" ht="15" hidden="false" customHeight="true" outlineLevel="0" collapsed="false">
      <c r="A35" s="3" t="n">
        <v>25</v>
      </c>
      <c r="B35" s="38" t="n">
        <f aca="false">EDATE(Inputs!$C$8,3*(A35-1))</f>
        <v>48533</v>
      </c>
      <c r="C35" s="38" t="n">
        <f aca="false">WORKDAY(B35-1,1)</f>
        <v>48533</v>
      </c>
      <c r="D35" s="61" t="b">
        <f aca="false">C35&lt;=Inputs!$C$9</f>
        <v>1</v>
      </c>
      <c r="E35" s="61" t="b">
        <f aca="false">AND(D35,NOT(D36))</f>
        <v>0</v>
      </c>
      <c r="F35" s="63" t="n">
        <f aca="false">(C35-C34)/360</f>
        <v>0.252777777777778</v>
      </c>
      <c r="G35" s="57" t="n">
        <f aca="false">Curve!D28</f>
        <v>0.02252</v>
      </c>
      <c r="H35" s="64" t="n">
        <f aca="false">AF34</f>
        <v>47436785.1260716</v>
      </c>
      <c r="I35" s="64" t="n">
        <f aca="false">IF(D35,H35*Inputs!$G$22,0)</f>
        <v>11863.6460761049</v>
      </c>
      <c r="J35" s="32" t="n">
        <f aca="false">MAX(Inputs!$G$24-(A35-1),1)</f>
        <v>21.5917704676111</v>
      </c>
      <c r="K35" s="64" t="n">
        <f aca="false">IF(D35,MIN(H35-I35,IF(J35&gt;1,(H35-I35)*Inputs!$G$23/((1+Inputs!$G$23)^J35-1),H35-I35)),0)</f>
        <v>2022328.63610474</v>
      </c>
      <c r="L35" s="64" t="n">
        <f aca="false">IF(D35,(H35-I35-K35)*Inputs!$G$21,0)</f>
        <v>489114.598960787</v>
      </c>
      <c r="M35" s="64" t="n">
        <f aca="false">IF(A35&gt;Inputs!$G$13,(1-Inputs!$G$12)*INDEX($I$11:$I$190,A35-Inputs!$G$13),0)</f>
        <v>13785.5484282958</v>
      </c>
      <c r="N35" s="64" t="n">
        <f aca="false">IF(D35,(H35-I35)*Inputs!$G$23,0)</f>
        <v>376316.751943764</v>
      </c>
      <c r="O35" s="64" t="n">
        <f aca="false">AG34</f>
        <v>40984696.8990485</v>
      </c>
      <c r="P35" s="64" t="n">
        <f aca="false">AH34</f>
        <v>6581390.33819556</v>
      </c>
      <c r="Q35" s="64" t="n">
        <f aca="false">IF(AND(D35,O35+P35&gt;0),Inputs!$C$25+Inputs!$C$26*H35/4,0)</f>
        <v>111859.196281518</v>
      </c>
      <c r="R35" s="64" t="n">
        <f aca="false">O35*IF(Inputs!$G$19="",G35+Inputs!$C$13,MAX(Inputs!$G$19,G35+Inputs!$C$13))*F35</f>
        <v>260243.717598536</v>
      </c>
      <c r="S35" s="64" t="n">
        <f aca="false">P35*(G35+Inputs!$C$14)*F35</f>
        <v>49214.4923594024</v>
      </c>
      <c r="T35" s="64" t="n">
        <f aca="false">N35+M35-Q35-R35-S35</f>
        <v>-31215.1058673966</v>
      </c>
      <c r="U35" s="64" t="n">
        <f aca="false">W34</f>
        <v>132740.551172484</v>
      </c>
      <c r="V35" s="64" t="n">
        <f aca="false">MIN(U35+I35,MAX(T35,0))</f>
        <v>0</v>
      </c>
      <c r="W35" s="64" t="n">
        <f aca="false">U35+I35-V35</f>
        <v>144604.197248589</v>
      </c>
      <c r="X35" s="64" t="n">
        <f aca="false">K35+L35+V35+IF(E35,H35-I35-K35-L35,0)</f>
        <v>2511443.23506553</v>
      </c>
      <c r="Y35" s="61" t="b">
        <f aca="false">AND(Inputs!$C$21=1,O35/Inputs!$C$10&lt;=Inputs!$C$22,Inputs!$G$14&lt;Inputs!$C$23,W35&lt;1)</f>
        <v>0</v>
      </c>
      <c r="Z35" s="61" t="b">
        <f aca="false">OR(AND(Inputs!$G$15=1,H35/Inputs!$C$17&lt;=Inputs!$C$24),AND(Inputs!$G$15=2,C35&gt;=Inputs!$G$16))</f>
        <v>0</v>
      </c>
      <c r="AA35" s="61" t="b">
        <f aca="false">OR(AA34,Z35)</f>
        <v>0</v>
      </c>
      <c r="AB35" s="61" t="b">
        <f aca="false">AND(Z35,NOT(AA34),D35,O35&gt;0)</f>
        <v>0</v>
      </c>
      <c r="AC35" s="63" t="n">
        <f aca="false">IF(AND(Y35,NOT(E35),O35+P35&gt;0),O35/(O35+P35),1)</f>
        <v>1</v>
      </c>
      <c r="AD35" s="64" t="n">
        <f aca="false">IF(AB35,O35,IF(D35,MIN(O35,IF(E35,AC35*X35+BF34,BE35*Inputs!$G$20)),0))</f>
        <v>2511443.23506553</v>
      </c>
      <c r="AE35" s="64" t="n">
        <f aca="false">IF(AB35,P35,IF(D35,MAX(MIN(P35,X35-MIN(O35,AC35*X35)),0),0))</f>
        <v>0</v>
      </c>
      <c r="AF35" s="64" t="n">
        <f aca="false">IF(OR(AB35,E35),0,MAX(H35-I35-K35-L35,0))</f>
        <v>44913478.2449299</v>
      </c>
      <c r="AG35" s="64" t="n">
        <f aca="false">IF(E35,0,O35-AD35)</f>
        <v>38473253.663983</v>
      </c>
      <c r="AH35" s="64" t="n">
        <f aca="false">IF(OR(AB35,E35),0,P35-AE35)</f>
        <v>6581390.33819556</v>
      </c>
      <c r="AI35" s="64" t="n">
        <f aca="false">IF(D35,R35+AD35,0)</f>
        <v>2771686.95266407</v>
      </c>
      <c r="AJ35" s="65" t="n">
        <f aca="false">(C35-Inputs!$G$6)/365</f>
        <v>6.14794520547945</v>
      </c>
      <c r="AK35" s="29" t="n">
        <f aca="false">AG35/Inputs!$C$10</f>
        <v>0.0272136188604654</v>
      </c>
      <c r="AL35" s="5"/>
      <c r="AM35" s="66" t="n">
        <f aca="false">F35</f>
        <v>0.252777777777778</v>
      </c>
      <c r="AN35" s="5"/>
      <c r="AO35" s="5" t="n">
        <f aca="false">AO34+LN(1+($G35+AO$7)*$AM35)</f>
        <v>0.156089504702501</v>
      </c>
      <c r="AP35" s="5" t="n">
        <f aca="false">AP34+LN(1+($G35+AP$7)*$AM35)</f>
        <v>0.156708922701025</v>
      </c>
      <c r="AQ35" s="5" t="n">
        <f aca="false">AQ34+LN(1+($G35+AQ$7)*$AM35)</f>
        <v>0.176605465417525</v>
      </c>
      <c r="AR35" s="5" t="n">
        <f aca="false">AR34+LN(1+($G35+AR$7)*$AM35)</f>
        <v>0.177224371664945</v>
      </c>
      <c r="AS35" s="5" t="n">
        <f aca="false">AS34+LN(1+($G35+AS$7)*$AM35)</f>
        <v>0.17683043805489</v>
      </c>
      <c r="AT35" s="5" t="n">
        <f aca="false">AT34+LN(1+($G35+AT$7)*$AM35)</f>
        <v>0.177449338692946</v>
      </c>
      <c r="AU35" s="5" t="n">
        <f aca="false">AU34+LN(1+($G35+AU$7)*$AM35)</f>
        <v>0.17683039002109</v>
      </c>
      <c r="AV35" s="5" t="n">
        <f aca="false">AV34+LN(1+($G35+AV$7)*$AM35)</f>
        <v>0.177449290660343</v>
      </c>
      <c r="AW35" s="5" t="n">
        <f aca="false">AW34+LN(1+($G35+AW$7)*$AM35)</f>
        <v>0.1768303900372</v>
      </c>
      <c r="AX35" s="5" t="n">
        <f aca="false">AX34+LN(1+($G35+AX$7)*$AM35)</f>
        <v>0.177449290676453</v>
      </c>
      <c r="AY35" s="5" t="n">
        <f aca="false">AY34+LN(1+($G35+AY$7)*$AM35)</f>
        <v>0.176830390037196</v>
      </c>
      <c r="AZ35" s="5" t="n">
        <f aca="false">AZ34+LN(1+($G35+AZ$7)*$AM35)</f>
        <v>0.177449290676448</v>
      </c>
      <c r="BA35" s="5" t="n">
        <f aca="false">BA34+LN(1+($G35+BA$7)*$AM35)</f>
        <v>0.176830390037196</v>
      </c>
      <c r="BB35" s="5" t="n">
        <f aca="false">BB34+LN(1+($G35+BB$7)*$AM35)</f>
        <v>0.177449290676448</v>
      </c>
      <c r="BC35" s="5" t="n">
        <f aca="false">BC34+LN(1+($G35+BC$7)*$AM35)</f>
        <v>0.176830390037196</v>
      </c>
      <c r="BD35" s="5" t="n">
        <f aca="false">BD34+LN(1+($G35+BD$7)*$AM35)</f>
        <v>0.177449290676448</v>
      </c>
      <c r="BE35" s="5" t="n">
        <f aca="false">IF(AB35,O35,IF(D35,MIN(O35,AC35*X35+BF34),0))</f>
        <v>2511443.23506553</v>
      </c>
      <c r="BF35" s="5" t="n">
        <f aca="false">IF(OR(AB35,E35),0,BE35-AD35)</f>
        <v>0</v>
      </c>
      <c r="BG35" s="5" t="n">
        <f aca="false">BG34+LN(1+($G35+BG$7)*$AM35)</f>
        <v>0.170640534763145</v>
      </c>
      <c r="BH35" s="5"/>
      <c r="BI35" s="5" t="n">
        <f aca="false">BI34+LN(1+($G35+BI$7)*$AM35)</f>
        <v>0.183018702122167</v>
      </c>
      <c r="BJ35" s="5"/>
      <c r="BK35" s="62" t="n">
        <f aca="false">C35</f>
        <v>48533</v>
      </c>
      <c r="BL35" s="67" t="n">
        <f aca="false">AI35</f>
        <v>2771686.95266407</v>
      </c>
    </row>
    <row r="36" customFormat="false" ht="15" hidden="false" customHeight="true" outlineLevel="0" collapsed="false">
      <c r="A36" s="3" t="n">
        <v>26</v>
      </c>
      <c r="B36" s="38" t="n">
        <f aca="false">EDATE(Inputs!$C$8,3*(A36-1))</f>
        <v>48625</v>
      </c>
      <c r="C36" s="38" t="n">
        <f aca="false">WORKDAY(B36-1,1)</f>
        <v>48625</v>
      </c>
      <c r="D36" s="61" t="b">
        <f aca="false">C36&lt;=Inputs!$C$9</f>
        <v>1</v>
      </c>
      <c r="E36" s="61" t="b">
        <f aca="false">AND(D36,NOT(D37))</f>
        <v>0</v>
      </c>
      <c r="F36" s="63" t="n">
        <f aca="false">(C36-C35)/360</f>
        <v>0.255555555555556</v>
      </c>
      <c r="G36" s="57" t="n">
        <f aca="false">Curve!D29</f>
        <v>0.02252</v>
      </c>
      <c r="H36" s="64" t="n">
        <f aca="false">AF35</f>
        <v>44913478.2449299</v>
      </c>
      <c r="I36" s="64" t="n">
        <f aca="false">IF(D36,H36*Inputs!$G$22,0)</f>
        <v>11232.5826577112</v>
      </c>
      <c r="J36" s="32" t="n">
        <f aca="false">MAX(Inputs!$G$24-(A36-1),1)</f>
        <v>20.5917704676111</v>
      </c>
      <c r="K36" s="64" t="n">
        <f aca="false">IF(D36,MIN(H36-I36,IF(J36&gt;1,(H36-I36)*Inputs!$G$23/((1+Inputs!$G$23)^J36-1),H36-I36)),0)</f>
        <v>2015912.43608998</v>
      </c>
      <c r="L36" s="64" t="n">
        <f aca="false">IF(D36,(H36-I36-K36)*Inputs!$G$21,0)</f>
        <v>462007.351627393</v>
      </c>
      <c r="M36" s="64" t="n">
        <f aca="false">IF(A36&gt;Inputs!$G$13,(1-Inputs!$G$12)*INDEX($I$11:$I$190,A36-Inputs!$G$13),0)</f>
        <v>13223.0641228344</v>
      </c>
      <c r="N36" s="64" t="n">
        <f aca="false">IF(D36,(H36-I36)*Inputs!$G$23,0)</f>
        <v>356299.31933013</v>
      </c>
      <c r="O36" s="64" t="n">
        <f aca="false">AG35</f>
        <v>38473253.663983</v>
      </c>
      <c r="P36" s="64" t="n">
        <f aca="false">AH35</f>
        <v>6581390.33819556</v>
      </c>
      <c r="Q36" s="64" t="n">
        <f aca="false">IF(AND(D36,O36+P36&gt;0),Inputs!$C$25+Inputs!$C$26*H36/4,0)</f>
        <v>111228.369561232</v>
      </c>
      <c r="R36" s="64" t="n">
        <f aca="false">O36*IF(Inputs!$G$19="",G36+Inputs!$C$13,MAX(Inputs!$G$19,G36+Inputs!$C$13))*F36</f>
        <v>246981.18929892</v>
      </c>
      <c r="S36" s="64" t="n">
        <f aca="false">P36*(G36+Inputs!$C$14)*F36</f>
        <v>49755.3109567584</v>
      </c>
      <c r="T36" s="64" t="n">
        <f aca="false">N36+M36-Q36-R36-S36</f>
        <v>-38442.4863639466</v>
      </c>
      <c r="U36" s="64" t="n">
        <f aca="false">W35</f>
        <v>144604.197248589</v>
      </c>
      <c r="V36" s="64" t="n">
        <f aca="false">MIN(U36+I36,MAX(T36,0))</f>
        <v>0</v>
      </c>
      <c r="W36" s="64" t="n">
        <f aca="false">U36+I36-V36</f>
        <v>155836.7799063</v>
      </c>
      <c r="X36" s="64" t="n">
        <f aca="false">K36+L36+V36+IF(E36,H36-I36-K36-L36,0)</f>
        <v>2477919.78771737</v>
      </c>
      <c r="Y36" s="61" t="b">
        <f aca="false">AND(Inputs!$C$21=1,O36/Inputs!$C$10&lt;=Inputs!$C$22,Inputs!$G$14&lt;Inputs!$C$23,W36&lt;1)</f>
        <v>0</v>
      </c>
      <c r="Z36" s="61" t="b">
        <f aca="false">OR(AND(Inputs!$G$15=1,H36/Inputs!$C$17&lt;=Inputs!$C$24),AND(Inputs!$G$15=2,C36&gt;=Inputs!$G$16))</f>
        <v>0</v>
      </c>
      <c r="AA36" s="61" t="b">
        <f aca="false">OR(AA35,Z36)</f>
        <v>0</v>
      </c>
      <c r="AB36" s="61" t="b">
        <f aca="false">AND(Z36,NOT(AA35),D36,O36&gt;0)</f>
        <v>0</v>
      </c>
      <c r="AC36" s="63" t="n">
        <f aca="false">IF(AND(Y36,NOT(E36),O36+P36&gt;0),O36/(O36+P36),1)</f>
        <v>1</v>
      </c>
      <c r="AD36" s="64" t="n">
        <f aca="false">IF(AB36,O36,IF(D36,MIN(O36,IF(E36,AC36*X36+BF35,BE36*Inputs!$G$20)),0))</f>
        <v>2477919.78771737</v>
      </c>
      <c r="AE36" s="64" t="n">
        <f aca="false">IF(AB36,P36,IF(D36,MAX(MIN(P36,X36-MIN(O36,AC36*X36)),0),0))</f>
        <v>0</v>
      </c>
      <c r="AF36" s="64" t="n">
        <f aca="false">IF(OR(AB36,E36),0,MAX(H36-I36-K36-L36,0))</f>
        <v>42424325.8745549</v>
      </c>
      <c r="AG36" s="64" t="n">
        <f aca="false">IF(E36,0,O36-AD36)</f>
        <v>35995333.8762656</v>
      </c>
      <c r="AH36" s="64" t="n">
        <f aca="false">IF(OR(AB36,E36),0,P36-AE36)</f>
        <v>6581390.33819556</v>
      </c>
      <c r="AI36" s="64" t="n">
        <f aca="false">IF(D36,R36+AD36,0)</f>
        <v>2724900.97701629</v>
      </c>
      <c r="AJ36" s="65" t="n">
        <f aca="false">(C36-Inputs!$G$6)/365</f>
        <v>6.4</v>
      </c>
      <c r="AK36" s="29" t="n">
        <f aca="false">AG36/Inputs!$C$10</f>
        <v>0.0254608904518236</v>
      </c>
      <c r="AL36" s="5"/>
      <c r="AM36" s="66" t="n">
        <f aca="false">F36</f>
        <v>0.255555555555556</v>
      </c>
      <c r="AN36" s="5"/>
      <c r="AO36" s="5" t="n">
        <f aca="false">AO35+LN(1+($G36+AO$7)*$AM36)</f>
        <v>0.162488542673659</v>
      </c>
      <c r="AP36" s="5" t="n">
        <f aca="false">AP35+LN(1+($G36+AP$7)*$AM36)</f>
        <v>0.163133352896488</v>
      </c>
      <c r="AQ36" s="5" t="n">
        <f aca="false">AQ35+LN(1+($G36+AQ$7)*$AM36)</f>
        <v>0.183845522245006</v>
      </c>
      <c r="AR36" s="5" t="n">
        <f aca="false">AR35+LN(1+($G36+AR$7)*$AM36)</f>
        <v>0.184489799370641</v>
      </c>
      <c r="AS36" s="5" t="n">
        <f aca="false">AS35+LN(1+($G36+AS$7)*$AM36)</f>
        <v>0.184079717206756</v>
      </c>
      <c r="AT36" s="5" t="n">
        <f aca="false">AT35+LN(1+($G36+AT$7)*$AM36)</f>
        <v>0.184723988489052</v>
      </c>
      <c r="AU36" s="5" t="n">
        <f aca="false">AU35+LN(1+($G36+AU$7)*$AM36)</f>
        <v>0.184079667203902</v>
      </c>
      <c r="AV36" s="5" t="n">
        <f aca="false">AV35+LN(1+($G36+AV$7)*$AM36)</f>
        <v>0.184723938487446</v>
      </c>
      <c r="AW36" s="5" t="n">
        <f aca="false">AW35+LN(1+($G36+AW$7)*$AM36)</f>
        <v>0.184079667220672</v>
      </c>
      <c r="AX36" s="5" t="n">
        <f aca="false">AX35+LN(1+($G36+AX$7)*$AM36)</f>
        <v>0.184723938504216</v>
      </c>
      <c r="AY36" s="5" t="n">
        <f aca="false">AY35+LN(1+($G36+AY$7)*$AM36)</f>
        <v>0.184079667220669</v>
      </c>
      <c r="AZ36" s="5" t="n">
        <f aca="false">AZ35+LN(1+($G36+AZ$7)*$AM36)</f>
        <v>0.184723938504211</v>
      </c>
      <c r="BA36" s="5" t="n">
        <f aca="false">BA35+LN(1+($G36+BA$7)*$AM36)</f>
        <v>0.184079667220669</v>
      </c>
      <c r="BB36" s="5" t="n">
        <f aca="false">BB35+LN(1+($G36+BB$7)*$AM36)</f>
        <v>0.184723938504211</v>
      </c>
      <c r="BC36" s="5" t="n">
        <f aca="false">BC35+LN(1+($G36+BC$7)*$AM36)</f>
        <v>0.184079667220669</v>
      </c>
      <c r="BD36" s="5" t="n">
        <f aca="false">BD35+LN(1+($G36+BD$7)*$AM36)</f>
        <v>0.184723938504211</v>
      </c>
      <c r="BE36" s="5" t="n">
        <f aca="false">IF(AB36,O36,IF(D36,MIN(O36,AC36*X36+BF35),0))</f>
        <v>2477919.78771737</v>
      </c>
      <c r="BF36" s="5" t="n">
        <f aca="false">IF(OR(AB36,E36),0,BE36-AD36)</f>
        <v>0</v>
      </c>
      <c r="BG36" s="5" t="n">
        <f aca="false">BG35+LN(1+($G36+BG$7)*$AM36)</f>
        <v>0.177636070095596</v>
      </c>
      <c r="BH36" s="5"/>
      <c r="BI36" s="5" t="n">
        <f aca="false">BI35+LN(1+($G36+BI$7)*$AM36)</f>
        <v>0.190521656788067</v>
      </c>
      <c r="BJ36" s="5"/>
      <c r="BK36" s="62" t="n">
        <f aca="false">C36</f>
        <v>48625</v>
      </c>
      <c r="BL36" s="67" t="n">
        <f aca="false">AI36</f>
        <v>2724900.97701629</v>
      </c>
    </row>
    <row r="37" customFormat="false" ht="15" hidden="false" customHeight="true" outlineLevel="0" collapsed="false">
      <c r="A37" s="3" t="n">
        <v>27</v>
      </c>
      <c r="B37" s="38" t="n">
        <f aca="false">EDATE(Inputs!$C$8,3*(A37-1))</f>
        <v>48714</v>
      </c>
      <c r="C37" s="38" t="n">
        <f aca="false">WORKDAY(B37-1,1)</f>
        <v>48715</v>
      </c>
      <c r="D37" s="61" t="b">
        <f aca="false">C37&lt;=Inputs!$C$9</f>
        <v>1</v>
      </c>
      <c r="E37" s="61" t="b">
        <f aca="false">AND(D37,NOT(D38))</f>
        <v>0</v>
      </c>
      <c r="F37" s="63" t="n">
        <f aca="false">(C37-C36)/360</f>
        <v>0.25</v>
      </c>
      <c r="G37" s="57" t="n">
        <f aca="false">Curve!D30</f>
        <v>0.02252</v>
      </c>
      <c r="H37" s="64" t="n">
        <f aca="false">AF36</f>
        <v>42424325.8745549</v>
      </c>
      <c r="I37" s="64" t="n">
        <f aca="false">IF(D37,H37*Inputs!$G$22,0)</f>
        <v>10610.0610708637</v>
      </c>
      <c r="J37" s="32" t="n">
        <f aca="false">MAX(Inputs!$G$24-(A37-1),1)</f>
        <v>19.5917704676111</v>
      </c>
      <c r="K37" s="64" t="n">
        <f aca="false">IF(D37,MIN(H37-I37,IF(J37&gt;1,(H37-I37)*Inputs!$G$23/((1+Inputs!$G$23)^J37-1),H37-I37)),0)</f>
        <v>2009516.59261959</v>
      </c>
      <c r="L37" s="64" t="n">
        <f aca="false">IF(D37,(H37-I37-K37)*Inputs!$G$21,0)</f>
        <v>435267.73385375</v>
      </c>
      <c r="M37" s="64" t="n">
        <f aca="false">IF(A37&gt;Inputs!$G$13,(1-Inputs!$G$12)*INDEX($I$11:$I$190,A37-Inputs!$G$13),0)</f>
        <v>12668.0811147929</v>
      </c>
      <c r="N37" s="64" t="n">
        <f aca="false">IF(D37,(H37-I37)*Inputs!$G$23,0)</f>
        <v>336552.834979995</v>
      </c>
      <c r="O37" s="64" t="n">
        <f aca="false">AG36</f>
        <v>35995333.8762656</v>
      </c>
      <c r="P37" s="64" t="n">
        <f aca="false">AH36</f>
        <v>6581390.33819556</v>
      </c>
      <c r="Q37" s="64" t="n">
        <f aca="false">IF(AND(D37,O37+P37&gt;0),Inputs!$C$25+Inputs!$C$26*H37/4,0)</f>
        <v>110606.081468639</v>
      </c>
      <c r="R37" s="64" t="n">
        <f aca="false">O37*IF(Inputs!$G$19="",G37+Inputs!$C$13,MAX(Inputs!$G$19,G37+Inputs!$C$13))*F37</f>
        <v>226050.696742948</v>
      </c>
      <c r="S37" s="64" t="n">
        <f aca="false">P37*(G37+Inputs!$C$14)*F37</f>
        <v>48673.6737620463</v>
      </c>
      <c r="T37" s="64" t="n">
        <f aca="false">N37+M37-Q37-R37-S37</f>
        <v>-36109.5358788449</v>
      </c>
      <c r="U37" s="64" t="n">
        <f aca="false">W36</f>
        <v>155836.7799063</v>
      </c>
      <c r="V37" s="64" t="n">
        <f aca="false">MIN(U37+I37,MAX(T37,0))</f>
        <v>0</v>
      </c>
      <c r="W37" s="64" t="n">
        <f aca="false">U37+I37-V37</f>
        <v>166446.840977164</v>
      </c>
      <c r="X37" s="64" t="n">
        <f aca="false">K37+L37+V37+IF(E37,H37-I37-K37-L37,0)</f>
        <v>2444784.32647334</v>
      </c>
      <c r="Y37" s="61" t="b">
        <f aca="false">AND(Inputs!$C$21=1,O37/Inputs!$C$10&lt;=Inputs!$C$22,Inputs!$G$14&lt;Inputs!$C$23,W37&lt;1)</f>
        <v>0</v>
      </c>
      <c r="Z37" s="61" t="b">
        <f aca="false">OR(AND(Inputs!$G$15=1,H37/Inputs!$C$17&lt;=Inputs!$C$24),AND(Inputs!$G$15=2,C37&gt;=Inputs!$G$16))</f>
        <v>0</v>
      </c>
      <c r="AA37" s="61" t="b">
        <f aca="false">OR(AA36,Z37)</f>
        <v>0</v>
      </c>
      <c r="AB37" s="61" t="b">
        <f aca="false">AND(Z37,NOT(AA36),D37,O37&gt;0)</f>
        <v>0</v>
      </c>
      <c r="AC37" s="63" t="n">
        <f aca="false">IF(AND(Y37,NOT(E37),O37+P37&gt;0),O37/(O37+P37),1)</f>
        <v>1</v>
      </c>
      <c r="AD37" s="64" t="n">
        <f aca="false">IF(AB37,O37,IF(D37,MIN(O37,IF(E37,AC37*X37+BF36,BE37*Inputs!$G$20)),0))</f>
        <v>2444784.32647334</v>
      </c>
      <c r="AE37" s="64" t="n">
        <f aca="false">IF(AB37,P37,IF(D37,MAX(MIN(P37,X37-MIN(O37,AC37*X37)),0),0))</f>
        <v>0</v>
      </c>
      <c r="AF37" s="64" t="n">
        <f aca="false">IF(OR(AB37,E37),0,MAX(H37-I37-K37-L37,0))</f>
        <v>39968931.4870107</v>
      </c>
      <c r="AG37" s="64" t="n">
        <f aca="false">IF(E37,0,O37-AD37)</f>
        <v>33550549.5497923</v>
      </c>
      <c r="AH37" s="64" t="n">
        <f aca="false">IF(OR(AB37,E37),0,P37-AE37)</f>
        <v>6581390.33819556</v>
      </c>
      <c r="AI37" s="64" t="n">
        <f aca="false">IF(D37,R37+AD37,0)</f>
        <v>2670835.02321629</v>
      </c>
      <c r="AJ37" s="65" t="n">
        <f aca="false">(C37-Inputs!$G$6)/365</f>
        <v>6.64657534246575</v>
      </c>
      <c r="AK37" s="29" t="n">
        <f aca="false">AG37/Inputs!$C$10</f>
        <v>0.02373160003522</v>
      </c>
      <c r="AL37" s="5"/>
      <c r="AM37" s="66" t="n">
        <f aca="false">F37</f>
        <v>0.25</v>
      </c>
      <c r="AN37" s="5"/>
      <c r="AO37" s="5" t="n">
        <f aca="false">AO36+LN(1+($G37+AO$7)*$AM37)</f>
        <v>0.168748905644473</v>
      </c>
      <c r="AP37" s="5" t="n">
        <f aca="false">AP36+LN(1+($G37+AP$7)*$AM37)</f>
        <v>0.169418559538502</v>
      </c>
      <c r="AQ37" s="5" t="n">
        <f aca="false">AQ36+LN(1+($G37+AQ$7)*$AM37)</f>
        <v>0.190928742627473</v>
      </c>
      <c r="AR37" s="5" t="n">
        <f aca="false">AR36+LN(1+($G37+AR$7)*$AM37)</f>
        <v>0.191597842990171</v>
      </c>
      <c r="AS37" s="5" t="n">
        <f aca="false">AS36+LN(1+($G37+AS$7)*$AM37)</f>
        <v>0.191171960844258</v>
      </c>
      <c r="AT37" s="5" t="n">
        <f aca="false">AT36+LN(1+($G37+AT$7)*$AM37)</f>
        <v>0.191841055139635</v>
      </c>
      <c r="AU37" s="5" t="n">
        <f aca="false">AU36+LN(1+($G37+AU$7)*$AM37)</f>
        <v>0.191171908914854</v>
      </c>
      <c r="AV37" s="5" t="n">
        <f aca="false">AV36+LN(1+($G37+AV$7)*$AM37)</f>
        <v>0.191841003211526</v>
      </c>
      <c r="AW37" s="5" t="n">
        <f aca="false">AW36+LN(1+($G37+AW$7)*$AM37)</f>
        <v>0.19117190893227</v>
      </c>
      <c r="AX37" s="5" t="n">
        <f aca="false">AX36+LN(1+($G37+AX$7)*$AM37)</f>
        <v>0.191841003228942</v>
      </c>
      <c r="AY37" s="5" t="n">
        <f aca="false">AY36+LN(1+($G37+AY$7)*$AM37)</f>
        <v>0.191171908932266</v>
      </c>
      <c r="AZ37" s="5" t="n">
        <f aca="false">AZ36+LN(1+($G37+AZ$7)*$AM37)</f>
        <v>0.191841003228936</v>
      </c>
      <c r="BA37" s="5" t="n">
        <f aca="false">BA36+LN(1+($G37+BA$7)*$AM37)</f>
        <v>0.191171908932266</v>
      </c>
      <c r="BB37" s="5" t="n">
        <f aca="false">BB36+LN(1+($G37+BB$7)*$AM37)</f>
        <v>0.191841003228936</v>
      </c>
      <c r="BC37" s="5" t="n">
        <f aca="false">BC36+LN(1+($G37+BC$7)*$AM37)</f>
        <v>0.191171908932266</v>
      </c>
      <c r="BD37" s="5" t="n">
        <f aca="false">BD36+LN(1+($G37+BD$7)*$AM37)</f>
        <v>0.191841003228936</v>
      </c>
      <c r="BE37" s="5" t="n">
        <f aca="false">IF(AB37,O37,IF(D37,MIN(O37,AC37*X37+BF36),0))</f>
        <v>2444784.32647334</v>
      </c>
      <c r="BF37" s="5" t="n">
        <f aca="false">IF(OR(AB37,E37),0,BE37-AD37)</f>
        <v>0</v>
      </c>
      <c r="BG37" s="5" t="n">
        <f aca="false">BG36+LN(1+($G37+BG$7)*$AM37)</f>
        <v>0.184480047780008</v>
      </c>
      <c r="BH37" s="5"/>
      <c r="BI37" s="5" t="n">
        <f aca="false">BI36+LN(1+($G37+BI$7)*$AM37)</f>
        <v>0.197862100907119</v>
      </c>
      <c r="BJ37" s="5"/>
      <c r="BK37" s="62" t="n">
        <f aca="false">C37</f>
        <v>48715</v>
      </c>
      <c r="BL37" s="67" t="n">
        <f aca="false">AI37</f>
        <v>2670835.02321629</v>
      </c>
    </row>
    <row r="38" customFormat="false" ht="15" hidden="false" customHeight="true" outlineLevel="0" collapsed="false">
      <c r="A38" s="3" t="n">
        <v>28</v>
      </c>
      <c r="B38" s="38" t="n">
        <f aca="false">EDATE(Inputs!$C$8,3*(A38-1))</f>
        <v>48806</v>
      </c>
      <c r="C38" s="38" t="n">
        <f aca="false">WORKDAY(B38-1,1)</f>
        <v>48806</v>
      </c>
      <c r="D38" s="61" t="b">
        <f aca="false">C38&lt;=Inputs!$C$9</f>
        <v>1</v>
      </c>
      <c r="E38" s="61" t="b">
        <f aca="false">AND(D38,NOT(D39))</f>
        <v>0</v>
      </c>
      <c r="F38" s="63" t="n">
        <f aca="false">(C38-C37)/360</f>
        <v>0.252777777777778</v>
      </c>
      <c r="G38" s="57" t="n">
        <f aca="false">Curve!D31</f>
        <v>0.02252</v>
      </c>
      <c r="H38" s="64" t="n">
        <f aca="false">AF37</f>
        <v>39968931.4870107</v>
      </c>
      <c r="I38" s="64" t="n">
        <f aca="false">IF(D38,H38*Inputs!$G$22,0)</f>
        <v>9995.98214638219</v>
      </c>
      <c r="J38" s="32" t="n">
        <f aca="false">MAX(Inputs!$G$24-(A38-1),1)</f>
        <v>18.5917704676111</v>
      </c>
      <c r="K38" s="64" t="n">
        <f aca="false">IF(D38,MIN(H38-I38,IF(J38&gt;1,(H38-I38)*Inputs!$G$23/((1+Inputs!$G$23)^J38-1),H38-I38)),0)</f>
        <v>2003141.04110879</v>
      </c>
      <c r="L38" s="64" t="n">
        <f aca="false">IF(D38,(H38-I38-K38)*Inputs!$G$21,0)</f>
        <v>408891.475674298</v>
      </c>
      <c r="M38" s="64" t="n">
        <f aca="false">IF(A38&gt;Inputs!$G$13,(1-Inputs!$G$12)*INDEX($I$11:$I$190,A38-Inputs!$G$13),0)</f>
        <v>12120.5126054241</v>
      </c>
      <c r="N38" s="64" t="n">
        <f aca="false">IF(D38,(H38-I38)*Inputs!$G$23,0)</f>
        <v>317074.153231098</v>
      </c>
      <c r="O38" s="64" t="n">
        <f aca="false">AG37</f>
        <v>33550549.5497923</v>
      </c>
      <c r="P38" s="64" t="n">
        <f aca="false">AH37</f>
        <v>6581390.33819556</v>
      </c>
      <c r="Q38" s="64" t="n">
        <f aca="false">IF(AND(D38,O38+P38&gt;0),Inputs!$C$25+Inputs!$C$26*H38/4,0)</f>
        <v>109992.232871753</v>
      </c>
      <c r="R38" s="64" t="n">
        <f aca="false">O38*IF(Inputs!$G$19="",G38+Inputs!$C$13,MAX(Inputs!$G$19,G38+Inputs!$C$13))*F38</f>
        <v>213038.533963503</v>
      </c>
      <c r="S38" s="64" t="n">
        <f aca="false">P38*(G38+Inputs!$C$14)*F38</f>
        <v>49214.4923594024</v>
      </c>
      <c r="T38" s="64" t="n">
        <f aca="false">N38+M38-Q38-R38-S38</f>
        <v>-43050.5933581363</v>
      </c>
      <c r="U38" s="64" t="n">
        <f aca="false">W37</f>
        <v>166446.840977164</v>
      </c>
      <c r="V38" s="64" t="n">
        <f aca="false">MIN(U38+I38,MAX(T38,0))</f>
        <v>0</v>
      </c>
      <c r="W38" s="64" t="n">
        <f aca="false">U38+I38-V38</f>
        <v>176442.823123546</v>
      </c>
      <c r="X38" s="64" t="n">
        <f aca="false">K38+L38+V38+IF(E38,H38-I38-K38-L38,0)</f>
        <v>2412032.51678309</v>
      </c>
      <c r="Y38" s="61" t="b">
        <f aca="false">AND(Inputs!$C$21=1,O38/Inputs!$C$10&lt;=Inputs!$C$22,Inputs!$G$14&lt;Inputs!$C$23,W38&lt;1)</f>
        <v>0</v>
      </c>
      <c r="Z38" s="61" t="b">
        <f aca="false">OR(AND(Inputs!$G$15=1,H38/Inputs!$C$17&lt;=Inputs!$C$24),AND(Inputs!$G$15=2,C38&gt;=Inputs!$G$16))</f>
        <v>0</v>
      </c>
      <c r="AA38" s="61" t="b">
        <f aca="false">OR(AA37,Z38)</f>
        <v>0</v>
      </c>
      <c r="AB38" s="61" t="b">
        <f aca="false">AND(Z38,NOT(AA37),D38,O38&gt;0)</f>
        <v>0</v>
      </c>
      <c r="AC38" s="63" t="n">
        <f aca="false">IF(AND(Y38,NOT(E38),O38+P38&gt;0),O38/(O38+P38),1)</f>
        <v>1</v>
      </c>
      <c r="AD38" s="64" t="n">
        <f aca="false">IF(AB38,O38,IF(D38,MIN(O38,IF(E38,AC38*X38+BF37,BE38*Inputs!$G$20)),0))</f>
        <v>2412032.51678309</v>
      </c>
      <c r="AE38" s="64" t="n">
        <f aca="false">IF(AB38,P38,IF(D38,MAX(MIN(P38,X38-MIN(O38,AC38*X38)),0),0))</f>
        <v>0</v>
      </c>
      <c r="AF38" s="64" t="n">
        <f aca="false">IF(OR(AB38,E38),0,MAX(H38-I38-K38-L38,0))</f>
        <v>37546902.9880812</v>
      </c>
      <c r="AG38" s="64" t="n">
        <f aca="false">IF(E38,0,O38-AD38)</f>
        <v>31138517.0330092</v>
      </c>
      <c r="AH38" s="64" t="n">
        <f aca="false">IF(OR(AB38,E38),0,P38-AE38)</f>
        <v>6581390.33819556</v>
      </c>
      <c r="AI38" s="64" t="n">
        <f aca="false">IF(D38,R38+AD38,0)</f>
        <v>2625071.0507466</v>
      </c>
      <c r="AJ38" s="65" t="n">
        <f aca="false">(C38-Inputs!$G$6)/365</f>
        <v>6.8958904109589</v>
      </c>
      <c r="AK38" s="29" t="n">
        <f aca="false">AG38/Inputs!$C$10</f>
        <v>0.022025476239087</v>
      </c>
      <c r="AL38" s="5"/>
      <c r="AM38" s="66" t="n">
        <f aca="false">F38</f>
        <v>0.252777777777778</v>
      </c>
      <c r="AN38" s="5"/>
      <c r="AO38" s="5" t="n">
        <f aca="false">AO37+LN(1+($G38+AO$7)*$AM38)</f>
        <v>0.175078608519303</v>
      </c>
      <c r="AP38" s="5" t="n">
        <f aca="false">AP37+LN(1+($G38+AP$7)*$AM38)</f>
        <v>0.175773380380141</v>
      </c>
      <c r="AQ38" s="5" t="n">
        <f aca="false">AQ37+LN(1+($G38+AQ$7)*$AM38)</f>
        <v>0.198090384307156</v>
      </c>
      <c r="AR38" s="5" t="n">
        <f aca="false">AR37+LN(1+($G38+AR$7)*$AM38)</f>
        <v>0.198784581749003</v>
      </c>
      <c r="AS38" s="5" t="n">
        <f aca="false">AS37+LN(1+($G38+AS$7)*$AM38)</f>
        <v>0.198342725321461</v>
      </c>
      <c r="AT38" s="5" t="n">
        <f aca="false">AT37+LN(1+($G38+AT$7)*$AM38)</f>
        <v>0.199036916467036</v>
      </c>
      <c r="AU38" s="5" t="n">
        <f aca="false">AU37+LN(1+($G38+AU$7)*$AM38)</f>
        <v>0.198342671444253</v>
      </c>
      <c r="AV38" s="5" t="n">
        <f aca="false">AV37+LN(1+($G38+AV$7)*$AM38)</f>
        <v>0.199036862591171</v>
      </c>
      <c r="AW38" s="5" t="n">
        <f aca="false">AW37+LN(1+($G38+AW$7)*$AM38)</f>
        <v>0.198342671462322</v>
      </c>
      <c r="AX38" s="5" t="n">
        <f aca="false">AX37+LN(1+($G38+AX$7)*$AM38)</f>
        <v>0.199036862609241</v>
      </c>
      <c r="AY38" s="5" t="n">
        <f aca="false">AY37+LN(1+($G38+AY$7)*$AM38)</f>
        <v>0.198342671462318</v>
      </c>
      <c r="AZ38" s="5" t="n">
        <f aca="false">AZ37+LN(1+($G38+AZ$7)*$AM38)</f>
        <v>0.199036862609235</v>
      </c>
      <c r="BA38" s="5" t="n">
        <f aca="false">BA37+LN(1+($G38+BA$7)*$AM38)</f>
        <v>0.198342671462318</v>
      </c>
      <c r="BB38" s="5" t="n">
        <f aca="false">BB37+LN(1+($G38+BB$7)*$AM38)</f>
        <v>0.199036862609235</v>
      </c>
      <c r="BC38" s="5" t="n">
        <f aca="false">BC37+LN(1+($G38+BC$7)*$AM38)</f>
        <v>0.198342671462318</v>
      </c>
      <c r="BD38" s="5" t="n">
        <f aca="false">BD37+LN(1+($G38+BD$7)*$AM38)</f>
        <v>0.199036862609235</v>
      </c>
      <c r="BE38" s="5" t="n">
        <f aca="false">IF(AB38,O38,IF(D38,MIN(O38,AC38*X38+BF37),0))</f>
        <v>2412032.51678309</v>
      </c>
      <c r="BF38" s="5" t="n">
        <f aca="false">IF(OR(AB38,E38),0,BE38-AD38)</f>
        <v>0</v>
      </c>
      <c r="BG38" s="5" t="n">
        <f aca="false">BG37+LN(1+($G38+BG$7)*$AM38)</f>
        <v>0.191399807159655</v>
      </c>
      <c r="BH38" s="5"/>
      <c r="BI38" s="5" t="n">
        <f aca="false">BI37+LN(1+($G38+BI$7)*$AM38)</f>
        <v>0.205283803600804</v>
      </c>
      <c r="BJ38" s="5"/>
      <c r="BK38" s="62" t="n">
        <f aca="false">C38</f>
        <v>48806</v>
      </c>
      <c r="BL38" s="67" t="n">
        <f aca="false">AI38</f>
        <v>2625071.0507466</v>
      </c>
    </row>
    <row r="39" customFormat="false" ht="15" hidden="false" customHeight="true" outlineLevel="0" collapsed="false">
      <c r="A39" s="3" t="n">
        <v>29</v>
      </c>
      <c r="B39" s="38" t="n">
        <f aca="false">EDATE(Inputs!$C$8,3*(A39-1))</f>
        <v>48898</v>
      </c>
      <c r="C39" s="38" t="n">
        <f aca="false">WORKDAY(B39-1,1)</f>
        <v>48898</v>
      </c>
      <c r="D39" s="61" t="b">
        <f aca="false">C39&lt;=Inputs!$C$9</f>
        <v>1</v>
      </c>
      <c r="E39" s="61" t="b">
        <f aca="false">AND(D39,NOT(D40))</f>
        <v>0</v>
      </c>
      <c r="F39" s="63" t="n">
        <f aca="false">(C39-C38)/360</f>
        <v>0.255555555555556</v>
      </c>
      <c r="G39" s="57" t="n">
        <f aca="false">Curve!D32</f>
        <v>0.02252</v>
      </c>
      <c r="H39" s="64" t="n">
        <f aca="false">AF38</f>
        <v>37546902.9880812</v>
      </c>
      <c r="I39" s="64" t="n">
        <f aca="false">IF(D39,H39*Inputs!$G$22,0)</f>
        <v>9390.24782393236</v>
      </c>
      <c r="J39" s="32" t="n">
        <f aca="false">MAX(Inputs!$G$24-(A39-1),1)</f>
        <v>17.5917704676111</v>
      </c>
      <c r="K39" s="64" t="n">
        <f aca="false">IF(D39,MIN(H39-I39,IF(J39&gt;1,(H39-I39)*Inputs!$G$23/((1+Inputs!$G$23)^J39-1),H39-I39)),0)</f>
        <v>1996785.71717772</v>
      </c>
      <c r="L39" s="64" t="n">
        <f aca="false">IF(D39,(H39-I39-K39)*Inputs!$G$21,0)</f>
        <v>382874.354873048</v>
      </c>
      <c r="M39" s="64" t="n">
        <f aca="false">IF(A39&gt;Inputs!$G$13,(1-Inputs!$G$12)*INDEX($I$11:$I$190,A39-Inputs!$G$13),0)</f>
        <v>11580.2727656352</v>
      </c>
      <c r="N39" s="64" t="n">
        <f aca="false">IF(D39,(H39-I39)*Inputs!$G$23,0)</f>
        <v>297860.163593941</v>
      </c>
      <c r="O39" s="64" t="n">
        <f aca="false">AG38</f>
        <v>31138517.0330092</v>
      </c>
      <c r="P39" s="64" t="n">
        <f aca="false">AH38</f>
        <v>6581390.33819556</v>
      </c>
      <c r="Q39" s="64" t="n">
        <f aca="false">IF(AND(D39,O39+P39&gt;0),Inputs!$C$25+Inputs!$C$26*H39/4,0)</f>
        <v>109386.72574702</v>
      </c>
      <c r="R39" s="64" t="n">
        <f aca="false">O39*IF(Inputs!$G$19="",G39+Inputs!$C$13,MAX(Inputs!$G$19,G39+Inputs!$C$13))*F39</f>
        <v>199895.440011016</v>
      </c>
      <c r="S39" s="64" t="n">
        <f aca="false">P39*(G39+Inputs!$C$14)*F39</f>
        <v>49755.3109567584</v>
      </c>
      <c r="T39" s="64" t="n">
        <f aca="false">N39+M39-Q39-R39-S39</f>
        <v>-49597.0403552179</v>
      </c>
      <c r="U39" s="64" t="n">
        <f aca="false">W38</f>
        <v>176442.823123546</v>
      </c>
      <c r="V39" s="64" t="n">
        <f aca="false">MIN(U39+I39,MAX(T39,0))</f>
        <v>0</v>
      </c>
      <c r="W39" s="64" t="n">
        <f aca="false">U39+I39-V39</f>
        <v>185833.070947478</v>
      </c>
      <c r="X39" s="64" t="n">
        <f aca="false">K39+L39+V39+IF(E39,H39-I39-K39-L39,0)</f>
        <v>2379660.07205077</v>
      </c>
      <c r="Y39" s="61" t="b">
        <f aca="false">AND(Inputs!$C$21=1,O39/Inputs!$C$10&lt;=Inputs!$C$22,Inputs!$G$14&lt;Inputs!$C$23,W39&lt;1)</f>
        <v>0</v>
      </c>
      <c r="Z39" s="61" t="b">
        <f aca="false">OR(AND(Inputs!$G$15=1,H39/Inputs!$C$17&lt;=Inputs!$C$24),AND(Inputs!$G$15=2,C39&gt;=Inputs!$G$16))</f>
        <v>0</v>
      </c>
      <c r="AA39" s="61" t="b">
        <f aca="false">OR(AA38,Z39)</f>
        <v>0</v>
      </c>
      <c r="AB39" s="61" t="b">
        <f aca="false">AND(Z39,NOT(AA38),D39,O39&gt;0)</f>
        <v>0</v>
      </c>
      <c r="AC39" s="63" t="n">
        <f aca="false">IF(AND(Y39,NOT(E39),O39+P39&gt;0),O39/(O39+P39),1)</f>
        <v>1</v>
      </c>
      <c r="AD39" s="64" t="n">
        <f aca="false">IF(AB39,O39,IF(D39,MIN(O39,IF(E39,AC39*X39+BF38,BE39*Inputs!$G$20)),0))</f>
        <v>2379660.07205077</v>
      </c>
      <c r="AE39" s="64" t="n">
        <f aca="false">IF(AB39,P39,IF(D39,MAX(MIN(P39,X39-MIN(O39,AC39*X39)),0),0))</f>
        <v>0</v>
      </c>
      <c r="AF39" s="64" t="n">
        <f aca="false">IF(OR(AB39,E39),0,MAX(H39-I39-K39-L39,0))</f>
        <v>35157852.6682065</v>
      </c>
      <c r="AG39" s="64" t="n">
        <f aca="false">IF(E39,0,O39-AD39)</f>
        <v>28758856.9609584</v>
      </c>
      <c r="AH39" s="64" t="n">
        <f aca="false">IF(OR(AB39,E39),0,P39-AE39)</f>
        <v>6581390.33819556</v>
      </c>
      <c r="AI39" s="64" t="n">
        <f aca="false">IF(D39,R39+AD39,0)</f>
        <v>2579555.51206178</v>
      </c>
      <c r="AJ39" s="65" t="n">
        <f aca="false">(C39-Inputs!$G$6)/365</f>
        <v>7.14794520547945</v>
      </c>
      <c r="AK39" s="29" t="n">
        <f aca="false">AG39/Inputs!$C$10</f>
        <v>0.0203422507239317</v>
      </c>
      <c r="AL39" s="5"/>
      <c r="AM39" s="66" t="n">
        <f aca="false">F39</f>
        <v>0.255555555555556</v>
      </c>
      <c r="AN39" s="5"/>
      <c r="AO39" s="5" t="n">
        <f aca="false">AO38+LN(1+($G39+AO$7)*$AM39)</f>
        <v>0.18147764649046</v>
      </c>
      <c r="AP39" s="5" t="n">
        <f aca="false">AP38+LN(1+($G39+AP$7)*$AM39)</f>
        <v>0.182197810575605</v>
      </c>
      <c r="AQ39" s="5" t="n">
        <f aca="false">AQ38+LN(1+($G39+AQ$7)*$AM39)</f>
        <v>0.205330441134636</v>
      </c>
      <c r="AR39" s="5" t="n">
        <f aca="false">AR38+LN(1+($G39+AR$7)*$AM39)</f>
        <v>0.206050009454698</v>
      </c>
      <c r="AS39" s="5" t="n">
        <f aca="false">AS38+LN(1+($G39+AS$7)*$AM39)</f>
        <v>0.205592004473328</v>
      </c>
      <c r="AT39" s="5" t="n">
        <f aca="false">AT38+LN(1+($G39+AT$7)*$AM39)</f>
        <v>0.206311566263143</v>
      </c>
      <c r="AU39" s="5" t="n">
        <f aca="false">AU38+LN(1+($G39+AU$7)*$AM39)</f>
        <v>0.205591948627065</v>
      </c>
      <c r="AV39" s="5" t="n">
        <f aca="false">AV38+LN(1+($G39+AV$7)*$AM39)</f>
        <v>0.206311510418274</v>
      </c>
      <c r="AW39" s="5" t="n">
        <f aca="false">AW38+LN(1+($G39+AW$7)*$AM39)</f>
        <v>0.205591948645795</v>
      </c>
      <c r="AX39" s="5" t="n">
        <f aca="false">AX38+LN(1+($G39+AX$7)*$AM39)</f>
        <v>0.206311510437004</v>
      </c>
      <c r="AY39" s="5" t="n">
        <f aca="false">AY38+LN(1+($G39+AY$7)*$AM39)</f>
        <v>0.205591948645791</v>
      </c>
      <c r="AZ39" s="5" t="n">
        <f aca="false">AZ38+LN(1+($G39+AZ$7)*$AM39)</f>
        <v>0.206311510436998</v>
      </c>
      <c r="BA39" s="5" t="n">
        <f aca="false">BA38+LN(1+($G39+BA$7)*$AM39)</f>
        <v>0.205591948645791</v>
      </c>
      <c r="BB39" s="5" t="n">
        <f aca="false">BB38+LN(1+($G39+BB$7)*$AM39)</f>
        <v>0.206311510436998</v>
      </c>
      <c r="BC39" s="5" t="n">
        <f aca="false">BC38+LN(1+($G39+BC$7)*$AM39)</f>
        <v>0.205591948645791</v>
      </c>
      <c r="BD39" s="5" t="n">
        <f aca="false">BD38+LN(1+($G39+BD$7)*$AM39)</f>
        <v>0.206311510436998</v>
      </c>
      <c r="BE39" s="5" t="n">
        <f aca="false">IF(AB39,O39,IF(D39,MIN(O39,AC39*X39+BF38),0))</f>
        <v>2379660.07205077</v>
      </c>
      <c r="BF39" s="5" t="n">
        <f aca="false">IF(OR(AB39,E39),0,BE39-AD39)</f>
        <v>0</v>
      </c>
      <c r="BG39" s="5" t="n">
        <f aca="false">BG38+LN(1+($G39+BG$7)*$AM39)</f>
        <v>0.198395342492106</v>
      </c>
      <c r="BH39" s="5"/>
      <c r="BI39" s="5" t="n">
        <f aca="false">BI38+LN(1+($G39+BI$7)*$AM39)</f>
        <v>0.212786758266704</v>
      </c>
      <c r="BJ39" s="5"/>
      <c r="BK39" s="62" t="n">
        <f aca="false">C39</f>
        <v>48898</v>
      </c>
      <c r="BL39" s="67" t="n">
        <f aca="false">AI39</f>
        <v>2579555.51206178</v>
      </c>
    </row>
    <row r="40" customFormat="false" ht="15" hidden="false" customHeight="true" outlineLevel="0" collapsed="false">
      <c r="A40" s="3" t="n">
        <v>30</v>
      </c>
      <c r="B40" s="38" t="n">
        <f aca="false">EDATE(Inputs!$C$8,3*(A40-1))</f>
        <v>48990</v>
      </c>
      <c r="C40" s="38" t="n">
        <f aca="false">WORKDAY(B40-1,1)</f>
        <v>48990</v>
      </c>
      <c r="D40" s="61" t="b">
        <f aca="false">C40&lt;=Inputs!$C$9</f>
        <v>1</v>
      </c>
      <c r="E40" s="61" t="b">
        <f aca="false">AND(D40,NOT(D41))</f>
        <v>0</v>
      </c>
      <c r="F40" s="63" t="n">
        <f aca="false">(C40-C39)/360</f>
        <v>0.255555555555556</v>
      </c>
      <c r="G40" s="57" t="n">
        <f aca="false">Curve!D33</f>
        <v>0.02252</v>
      </c>
      <c r="H40" s="64" t="n">
        <f aca="false">AF39</f>
        <v>35157852.6682065</v>
      </c>
      <c r="I40" s="64" t="n">
        <f aca="false">IF(D40,H40*Inputs!$G$22,0)</f>
        <v>8792.76113975525</v>
      </c>
      <c r="J40" s="32" t="n">
        <f aca="false">MAX(Inputs!$G$24-(A40-1),1)</f>
        <v>16.5917704676111</v>
      </c>
      <c r="K40" s="64" t="n">
        <f aca="false">IF(D40,MIN(H40-I40,IF(J40&gt;1,(H40-I40)*Inputs!$G$23/((1+Inputs!$G$23)^J40-1),H40-I40)),0)</f>
        <v>1990450.55665073</v>
      </c>
      <c r="L40" s="64" t="n">
        <f aca="false">IF(D40,(H40-I40-K40)*Inputs!$G$21,0)</f>
        <v>357212.196455173</v>
      </c>
      <c r="M40" s="64" t="n">
        <f aca="false">IF(A40&gt;Inputs!$G$13,(1-Inputs!$G$12)*INDEX($I$11:$I$190,A40-Inputs!$G$13),0)</f>
        <v>11047.2767252599</v>
      </c>
      <c r="N40" s="64" t="n">
        <f aca="false">IF(D40,(H40-I40)*Inputs!$G$23,0)</f>
        <v>278907.790362574</v>
      </c>
      <c r="O40" s="64" t="n">
        <f aca="false">AG39</f>
        <v>28758856.9609584</v>
      </c>
      <c r="P40" s="64" t="n">
        <f aca="false">AH39</f>
        <v>6581390.33819556</v>
      </c>
      <c r="Q40" s="64" t="n">
        <f aca="false">IF(AND(D40,O40+P40&gt;0),Inputs!$C$25+Inputs!$C$26*H40/4,0)</f>
        <v>108789.463167052</v>
      </c>
      <c r="R40" s="64" t="n">
        <f aca="false">O40*IF(Inputs!$G$19="",G40+Inputs!$C$13,MAX(Inputs!$G$19,G40+Inputs!$C$13))*F40</f>
        <v>184619.079975148</v>
      </c>
      <c r="S40" s="64" t="n">
        <f aca="false">P40*(G40+Inputs!$C$14)*F40</f>
        <v>49755.3109567584</v>
      </c>
      <c r="T40" s="64" t="n">
        <f aca="false">N40+M40-Q40-R40-S40</f>
        <v>-53208.787011124</v>
      </c>
      <c r="U40" s="64" t="n">
        <f aca="false">W39</f>
        <v>185833.070947478</v>
      </c>
      <c r="V40" s="64" t="n">
        <f aca="false">MIN(U40+I40,MAX(T40,0))</f>
        <v>0</v>
      </c>
      <c r="W40" s="64" t="n">
        <f aca="false">U40+I40-V40</f>
        <v>194625.832087233</v>
      </c>
      <c r="X40" s="64" t="n">
        <f aca="false">K40+L40+V40+IF(E40,H40-I40-K40-L40,0)</f>
        <v>2347662.7531059</v>
      </c>
      <c r="Y40" s="61" t="b">
        <f aca="false">AND(Inputs!$C$21=1,O40/Inputs!$C$10&lt;=Inputs!$C$22,Inputs!$G$14&lt;Inputs!$C$23,W40&lt;1)</f>
        <v>0</v>
      </c>
      <c r="Z40" s="61" t="b">
        <f aca="false">OR(AND(Inputs!$G$15=1,H40/Inputs!$C$17&lt;=Inputs!$C$24),AND(Inputs!$G$15=2,C40&gt;=Inputs!$G$16))</f>
        <v>0</v>
      </c>
      <c r="AA40" s="61" t="b">
        <f aca="false">OR(AA39,Z40)</f>
        <v>0</v>
      </c>
      <c r="AB40" s="61" t="b">
        <f aca="false">AND(Z40,NOT(AA39),D40,O40&gt;0)</f>
        <v>0</v>
      </c>
      <c r="AC40" s="63" t="n">
        <f aca="false">IF(AND(Y40,NOT(E40),O40+P40&gt;0),O40/(O40+P40),1)</f>
        <v>1</v>
      </c>
      <c r="AD40" s="64" t="n">
        <f aca="false">IF(AB40,O40,IF(D40,MIN(O40,IF(E40,AC40*X40+BF39,BE40*Inputs!$G$20)),0))</f>
        <v>2347662.7531059</v>
      </c>
      <c r="AE40" s="64" t="n">
        <f aca="false">IF(AB40,P40,IF(D40,MAX(MIN(P40,X40-MIN(O40,AC40*X40)),0),0))</f>
        <v>0</v>
      </c>
      <c r="AF40" s="64" t="n">
        <f aca="false">IF(OR(AB40,E40),0,MAX(H40-I40-K40-L40,0))</f>
        <v>32801397.1539608</v>
      </c>
      <c r="AG40" s="64" t="n">
        <f aca="false">IF(E40,0,O40-AD40)</f>
        <v>26411194.2078525</v>
      </c>
      <c r="AH40" s="64" t="n">
        <f aca="false">IF(OR(AB40,E40),0,P40-AE40)</f>
        <v>6581390.33819556</v>
      </c>
      <c r="AI40" s="64" t="n">
        <f aca="false">IF(D40,R40+AD40,0)</f>
        <v>2532281.83308105</v>
      </c>
      <c r="AJ40" s="65" t="n">
        <f aca="false">(C40-Inputs!$G$6)/365</f>
        <v>7.4</v>
      </c>
      <c r="AK40" s="29" t="n">
        <f aca="false">AG40/Inputs!$C$10</f>
        <v>0.0186816581487905</v>
      </c>
      <c r="AL40" s="5"/>
      <c r="AM40" s="66" t="n">
        <f aca="false">F40</f>
        <v>0.255555555555556</v>
      </c>
      <c r="AN40" s="5"/>
      <c r="AO40" s="5" t="n">
        <f aca="false">AO39+LN(1+($G40+AO$7)*$AM40)</f>
        <v>0.187876684461618</v>
      </c>
      <c r="AP40" s="5" t="n">
        <f aca="false">AP39+LN(1+($G40+AP$7)*$AM40)</f>
        <v>0.188622240771068</v>
      </c>
      <c r="AQ40" s="5" t="n">
        <f aca="false">AQ39+LN(1+($G40+AQ$7)*$AM40)</f>
        <v>0.212570497962117</v>
      </c>
      <c r="AR40" s="5" t="n">
        <f aca="false">AR39+LN(1+($G40+AR$7)*$AM40)</f>
        <v>0.213315437160394</v>
      </c>
      <c r="AS40" s="5" t="n">
        <f aca="false">AS39+LN(1+($G40+AS$7)*$AM40)</f>
        <v>0.212841283625194</v>
      </c>
      <c r="AT40" s="5" t="n">
        <f aca="false">AT39+LN(1+($G40+AT$7)*$AM40)</f>
        <v>0.213586216059249</v>
      </c>
      <c r="AU40" s="5" t="n">
        <f aca="false">AU39+LN(1+($G40+AU$7)*$AM40)</f>
        <v>0.212841225809877</v>
      </c>
      <c r="AV40" s="5" t="n">
        <f aca="false">AV39+LN(1+($G40+AV$7)*$AM40)</f>
        <v>0.213586158245377</v>
      </c>
      <c r="AW40" s="5" t="n">
        <f aca="false">AW39+LN(1+($G40+AW$7)*$AM40)</f>
        <v>0.212841225829267</v>
      </c>
      <c r="AX40" s="5" t="n">
        <f aca="false">AX39+LN(1+($G40+AX$7)*$AM40)</f>
        <v>0.213586158264768</v>
      </c>
      <c r="AY40" s="5" t="n">
        <f aca="false">AY39+LN(1+($G40+AY$7)*$AM40)</f>
        <v>0.212841225829264</v>
      </c>
      <c r="AZ40" s="5" t="n">
        <f aca="false">AZ39+LN(1+($G40+AZ$7)*$AM40)</f>
        <v>0.213586158264761</v>
      </c>
      <c r="BA40" s="5" t="n">
        <f aca="false">BA39+LN(1+($G40+BA$7)*$AM40)</f>
        <v>0.212841225829264</v>
      </c>
      <c r="BB40" s="5" t="n">
        <f aca="false">BB39+LN(1+($G40+BB$7)*$AM40)</f>
        <v>0.213586158264761</v>
      </c>
      <c r="BC40" s="5" t="n">
        <f aca="false">BC39+LN(1+($G40+BC$7)*$AM40)</f>
        <v>0.212841225829264</v>
      </c>
      <c r="BD40" s="5" t="n">
        <f aca="false">BD39+LN(1+($G40+BD$7)*$AM40)</f>
        <v>0.213586158264761</v>
      </c>
      <c r="BE40" s="5" t="n">
        <f aca="false">IF(AB40,O40,IF(D40,MIN(O40,AC40*X40+BF39),0))</f>
        <v>2347662.7531059</v>
      </c>
      <c r="BF40" s="5" t="n">
        <f aca="false">IF(OR(AB40,E40),0,BE40-AD40)</f>
        <v>0</v>
      </c>
      <c r="BG40" s="5" t="n">
        <f aca="false">BG39+LN(1+($G40+BG$7)*$AM40)</f>
        <v>0.205390877824557</v>
      </c>
      <c r="BH40" s="5"/>
      <c r="BI40" s="5" t="n">
        <f aca="false">BI39+LN(1+($G40+BI$7)*$AM40)</f>
        <v>0.220289712932604</v>
      </c>
      <c r="BJ40" s="5"/>
      <c r="BK40" s="62" t="n">
        <f aca="false">C40</f>
        <v>48990</v>
      </c>
      <c r="BL40" s="67" t="n">
        <f aca="false">AI40</f>
        <v>2532281.83308105</v>
      </c>
    </row>
    <row r="41" customFormat="false" ht="15" hidden="false" customHeight="true" outlineLevel="0" collapsed="false">
      <c r="A41" s="3" t="n">
        <v>31</v>
      </c>
      <c r="B41" s="38" t="n">
        <f aca="false">EDATE(Inputs!$C$8,3*(A41-1))</f>
        <v>49079</v>
      </c>
      <c r="C41" s="38" t="n">
        <f aca="false">WORKDAY(B41-1,1)</f>
        <v>49079</v>
      </c>
      <c r="D41" s="61" t="b">
        <f aca="false">C41&lt;=Inputs!$C$9</f>
        <v>1</v>
      </c>
      <c r="E41" s="61" t="b">
        <f aca="false">AND(D41,NOT(D42))</f>
        <v>0</v>
      </c>
      <c r="F41" s="63" t="n">
        <f aca="false">(C41-C40)/360</f>
        <v>0.247222222222222</v>
      </c>
      <c r="G41" s="57" t="n">
        <f aca="false">Curve!D34</f>
        <v>0.02252</v>
      </c>
      <c r="H41" s="64" t="n">
        <f aca="false">AF40</f>
        <v>32801397.1539608</v>
      </c>
      <c r="I41" s="64" t="n">
        <f aca="false">IF(D41,H41*Inputs!$G$22,0)</f>
        <v>8203.42621453218</v>
      </c>
      <c r="J41" s="32" t="n">
        <f aca="false">MAX(Inputs!$G$24-(A41-1),1)</f>
        <v>15.5917704676111</v>
      </c>
      <c r="K41" s="64" t="n">
        <f aca="false">IF(D41,MIN(H41-I41,IF(J41&gt;1,(H41-I41)*Inputs!$G$23/((1+Inputs!$G$23)^J41-1),H41-I41)),0)</f>
        <v>1984135.49555583</v>
      </c>
      <c r="L41" s="64" t="n">
        <f aca="false">IF(D41,(H41-I41-K41)*Inputs!$G$21,0)</f>
        <v>331900.872124422</v>
      </c>
      <c r="M41" s="64" t="n">
        <f aca="false">IF(A41&gt;Inputs!$G$13,(1-Inputs!$G$12)*INDEX($I$11:$I$190,A41-Inputs!$G$13),0)</f>
        <v>10521.4405624499</v>
      </c>
      <c r="N41" s="64" t="n">
        <f aca="false">IF(D41,(H41-I41)*Inputs!$G$23,0)</f>
        <v>260213.992229667</v>
      </c>
      <c r="O41" s="64" t="n">
        <f aca="false">AG40</f>
        <v>26411194.2078525</v>
      </c>
      <c r="P41" s="64" t="n">
        <f aca="false">AH40</f>
        <v>6581390.33819556</v>
      </c>
      <c r="Q41" s="64" t="n">
        <f aca="false">IF(AND(D41,O41+P41&gt;0),Inputs!$C$25+Inputs!$C$26*H41/4,0)</f>
        <v>108200.34928849</v>
      </c>
      <c r="R41" s="64" t="n">
        <f aca="false">O41*IF(Inputs!$G$19="",G41+Inputs!$C$13,MAX(Inputs!$G$19,G41+Inputs!$C$13))*F41</f>
        <v>164019.385185033</v>
      </c>
      <c r="S41" s="64" t="n">
        <f aca="false">P41*(G41+Inputs!$C$14)*F41</f>
        <v>48132.8551646902</v>
      </c>
      <c r="T41" s="64" t="n">
        <f aca="false">N41+M41-Q41-R41-S41</f>
        <v>-49617.1568460964</v>
      </c>
      <c r="U41" s="64" t="n">
        <f aca="false">W40</f>
        <v>194625.832087233</v>
      </c>
      <c r="V41" s="64" t="n">
        <f aca="false">MIN(U41+I41,MAX(T41,0))</f>
        <v>0</v>
      </c>
      <c r="W41" s="64" t="n">
        <f aca="false">U41+I41-V41</f>
        <v>202829.258301766</v>
      </c>
      <c r="X41" s="64" t="n">
        <f aca="false">K41+L41+V41+IF(E41,H41-I41-K41-L41,0)</f>
        <v>2316036.36768025</v>
      </c>
      <c r="Y41" s="61" t="b">
        <f aca="false">AND(Inputs!$C$21=1,O41/Inputs!$C$10&lt;=Inputs!$C$22,Inputs!$G$14&lt;Inputs!$C$23,W41&lt;1)</f>
        <v>0</v>
      </c>
      <c r="Z41" s="61" t="b">
        <f aca="false">OR(AND(Inputs!$G$15=1,H41/Inputs!$C$17&lt;=Inputs!$C$24),AND(Inputs!$G$15=2,C41&gt;=Inputs!$G$16))</f>
        <v>0</v>
      </c>
      <c r="AA41" s="61" t="b">
        <f aca="false">OR(AA40,Z41)</f>
        <v>0</v>
      </c>
      <c r="AB41" s="61" t="b">
        <f aca="false">AND(Z41,NOT(AA40),D41,O41&gt;0)</f>
        <v>0</v>
      </c>
      <c r="AC41" s="63" t="n">
        <f aca="false">IF(AND(Y41,NOT(E41),O41+P41&gt;0),O41/(O41+P41),1)</f>
        <v>1</v>
      </c>
      <c r="AD41" s="64" t="n">
        <f aca="false">IF(AB41,O41,IF(D41,MIN(O41,IF(E41,AC41*X41+BF40,BE41*Inputs!$G$20)),0))</f>
        <v>2316036.36768025</v>
      </c>
      <c r="AE41" s="64" t="n">
        <f aca="false">IF(AB41,P41,IF(D41,MAX(MIN(P41,X41-MIN(O41,AC41*X41)),0),0))</f>
        <v>0</v>
      </c>
      <c r="AF41" s="64" t="n">
        <f aca="false">IF(OR(AB41,E41),0,MAX(H41-I41-K41-L41,0))</f>
        <v>30477157.360066</v>
      </c>
      <c r="AG41" s="64" t="n">
        <f aca="false">IF(E41,0,O41-AD41)</f>
        <v>24095157.8401723</v>
      </c>
      <c r="AH41" s="64" t="n">
        <f aca="false">IF(OR(AB41,E41),0,P41-AE41)</f>
        <v>6581390.33819556</v>
      </c>
      <c r="AI41" s="64" t="n">
        <f aca="false">IF(D41,R41+AD41,0)</f>
        <v>2480055.75286528</v>
      </c>
      <c r="AJ41" s="65" t="n">
        <f aca="false">(C41-Inputs!$G$6)/365</f>
        <v>7.64383561643836</v>
      </c>
      <c r="AK41" s="29" t="n">
        <f aca="false">AG41/Inputs!$C$10</f>
        <v>0.0170434361380529</v>
      </c>
      <c r="AL41" s="5"/>
      <c r="AM41" s="66" t="n">
        <f aca="false">F41</f>
        <v>0.247222222222222</v>
      </c>
      <c r="AN41" s="5"/>
      <c r="AO41" s="5" t="n">
        <f aca="false">AO40+LN(1+($G41+AO$7)*$AM41)</f>
        <v>0.19406770272006</v>
      </c>
      <c r="AP41" s="5" t="n">
        <f aca="false">AP40+LN(1+($G41+AP$7)*$AM41)</f>
        <v>0.194837828366984</v>
      </c>
      <c r="AQ41" s="5" t="n">
        <f aca="false">AQ40+LN(1+($G41+AQ$7)*$AM41)</f>
        <v>0.219575290896986</v>
      </c>
      <c r="AR41" s="5" t="n">
        <f aca="false">AR40+LN(1+($G41+AR$7)*$AM41)</f>
        <v>0.220344779447211</v>
      </c>
      <c r="AS41" s="5" t="n">
        <f aca="false">AS40+LN(1+($G41+AS$7)*$AM41)</f>
        <v>0.219855000256988</v>
      </c>
      <c r="AT41" s="5" t="n">
        <f aca="false">AT40+LN(1+($G41+AT$7)*$AM41)</f>
        <v>0.220624481823924</v>
      </c>
      <c r="AU41" s="5" t="n">
        <f aca="false">AU40+LN(1+($G41+AU$7)*$AM41)</f>
        <v>0.219854940536377</v>
      </c>
      <c r="AV41" s="5" t="n">
        <f aca="false">AV40+LN(1+($G41+AV$7)*$AM41)</f>
        <v>0.220624422104804</v>
      </c>
      <c r="AW41" s="5" t="n">
        <f aca="false">AW40+LN(1+($G41+AW$7)*$AM41)</f>
        <v>0.219854940556406</v>
      </c>
      <c r="AX41" s="5" t="n">
        <f aca="false">AX40+LN(1+($G41+AX$7)*$AM41)</f>
        <v>0.220624422124834</v>
      </c>
      <c r="AY41" s="5" t="n">
        <f aca="false">AY40+LN(1+($G41+AY$7)*$AM41)</f>
        <v>0.219854940556402</v>
      </c>
      <c r="AZ41" s="5" t="n">
        <f aca="false">AZ40+LN(1+($G41+AZ$7)*$AM41)</f>
        <v>0.220624422124827</v>
      </c>
      <c r="BA41" s="5" t="n">
        <f aca="false">BA40+LN(1+($G41+BA$7)*$AM41)</f>
        <v>0.219854940556402</v>
      </c>
      <c r="BB41" s="5" t="n">
        <f aca="false">BB40+LN(1+($G41+BB$7)*$AM41)</f>
        <v>0.220624422124827</v>
      </c>
      <c r="BC41" s="5" t="n">
        <f aca="false">BC40+LN(1+($G41+BC$7)*$AM41)</f>
        <v>0.219854940556402</v>
      </c>
      <c r="BD41" s="5" t="n">
        <f aca="false">BD40+LN(1+($G41+BD$7)*$AM41)</f>
        <v>0.220624422124827</v>
      </c>
      <c r="BE41" s="5" t="n">
        <f aca="false">IF(AB41,O41,IF(D41,MIN(O41,AC41*X41+BF40),0))</f>
        <v>2316036.36768025</v>
      </c>
      <c r="BF41" s="5" t="n">
        <f aca="false">IF(OR(AB41,E41),0,BE41-AD41)</f>
        <v>0</v>
      </c>
      <c r="BG41" s="5" t="n">
        <f aca="false">BG40+LN(1+($G41+BG$7)*$AM41)</f>
        <v>0.212159068070435</v>
      </c>
      <c r="BH41" s="5"/>
      <c r="BI41" s="5" t="n">
        <f aca="false">BI40+LN(1+($G41+BI$7)*$AM41)</f>
        <v>0.22754889187353</v>
      </c>
      <c r="BJ41" s="5"/>
      <c r="BK41" s="62" t="n">
        <f aca="false">C41</f>
        <v>49079</v>
      </c>
      <c r="BL41" s="67" t="n">
        <f aca="false">AI41</f>
        <v>2480055.75286528</v>
      </c>
    </row>
    <row r="42" customFormat="false" ht="15" hidden="false" customHeight="true" outlineLevel="0" collapsed="false">
      <c r="A42" s="3" t="n">
        <v>32</v>
      </c>
      <c r="B42" s="38" t="n">
        <f aca="false">EDATE(Inputs!$C$8,3*(A42-1))</f>
        <v>49171</v>
      </c>
      <c r="C42" s="38" t="n">
        <f aca="false">WORKDAY(B42-1,1)</f>
        <v>49171</v>
      </c>
      <c r="D42" s="61" t="b">
        <f aca="false">C42&lt;=Inputs!$C$9</f>
        <v>1</v>
      </c>
      <c r="E42" s="61" t="b">
        <f aca="false">AND(D42,NOT(D43))</f>
        <v>0</v>
      </c>
      <c r="F42" s="63" t="n">
        <f aca="false">(C42-C41)/360</f>
        <v>0.255555555555556</v>
      </c>
      <c r="G42" s="57" t="n">
        <f aca="false">Curve!D35</f>
        <v>0.02252</v>
      </c>
      <c r="H42" s="64" t="n">
        <f aca="false">AF41</f>
        <v>30477157.360066</v>
      </c>
      <c r="I42" s="64" t="n">
        <f aca="false">IF(D42,H42*Inputs!$G$22,0)</f>
        <v>7622.14824138362</v>
      </c>
      <c r="J42" s="32" t="n">
        <f aca="false">MAX(Inputs!$G$24-(A42-1),1)</f>
        <v>14.5917704676111</v>
      </c>
      <c r="K42" s="64" t="n">
        <f aca="false">IF(D42,MIN(H42-I42,IF(J42&gt;1,(H42-I42)*Inputs!$G$23/((1+Inputs!$G$23)^J42-1),H42-I42)),0)</f>
        <v>1977840.47012395</v>
      </c>
      <c r="L42" s="64" t="n">
        <f aca="false">IF(D42,(H42-I42-K42)*Inputs!$G$21,0)</f>
        <v>306936.299766308</v>
      </c>
      <c r="M42" s="64" t="n">
        <f aca="false">IF(A42&gt;Inputs!$G$13,(1-Inputs!$G$12)*INDEX($I$11:$I$190,A42-Inputs!$G$13),0)</f>
        <v>10002.6812931823</v>
      </c>
      <c r="N42" s="64" t="n">
        <f aca="false">IF(D42,(H42-I42)*Inputs!$G$23,0)</f>
        <v>241775.761905829</v>
      </c>
      <c r="O42" s="64" t="n">
        <f aca="false">AG41</f>
        <v>24095157.8401723</v>
      </c>
      <c r="P42" s="64" t="n">
        <f aca="false">AH41</f>
        <v>6581390.33819556</v>
      </c>
      <c r="Q42" s="64" t="n">
        <f aca="false">IF(AND(D42,O42+P42&gt;0),Inputs!$C$25+Inputs!$C$26*H42/4,0)</f>
        <v>107619.289340017</v>
      </c>
      <c r="R42" s="64" t="n">
        <f aca="false">O42*IF(Inputs!$G$19="",G42+Inputs!$C$13,MAX(Inputs!$G$19,G42+Inputs!$C$13))*F42</f>
        <v>154680.204374866</v>
      </c>
      <c r="S42" s="64" t="n">
        <f aca="false">P42*(G42+Inputs!$C$14)*F42</f>
        <v>49755.3109567584</v>
      </c>
      <c r="T42" s="64" t="n">
        <f aca="false">N42+M42-Q42-R42-S42</f>
        <v>-60276.36147263</v>
      </c>
      <c r="U42" s="64" t="n">
        <f aca="false">W41</f>
        <v>202829.258301766</v>
      </c>
      <c r="V42" s="64" t="n">
        <f aca="false">MIN(U42+I42,MAX(T42,0))</f>
        <v>0</v>
      </c>
      <c r="W42" s="64" t="n">
        <f aca="false">U42+I42-V42</f>
        <v>210451.406543149</v>
      </c>
      <c r="X42" s="64" t="n">
        <f aca="false">K42+L42+V42+IF(E42,H42-I42-K42-L42,0)</f>
        <v>2284776.76989026</v>
      </c>
      <c r="Y42" s="61" t="b">
        <f aca="false">AND(Inputs!$C$21=1,O42/Inputs!$C$10&lt;=Inputs!$C$22,Inputs!$G$14&lt;Inputs!$C$23,W42&lt;1)</f>
        <v>0</v>
      </c>
      <c r="Z42" s="61" t="b">
        <f aca="false">OR(AND(Inputs!$G$15=1,H42/Inputs!$C$17&lt;=Inputs!$C$24),AND(Inputs!$G$15=2,C42&gt;=Inputs!$G$16))</f>
        <v>0</v>
      </c>
      <c r="AA42" s="61" t="b">
        <f aca="false">OR(AA41,Z42)</f>
        <v>0</v>
      </c>
      <c r="AB42" s="61" t="b">
        <f aca="false">AND(Z42,NOT(AA41),D42,O42&gt;0)</f>
        <v>0</v>
      </c>
      <c r="AC42" s="63" t="n">
        <f aca="false">IF(AND(Y42,NOT(E42),O42+P42&gt;0),O42/(O42+P42),1)</f>
        <v>1</v>
      </c>
      <c r="AD42" s="64" t="n">
        <f aca="false">IF(AB42,O42,IF(D42,MIN(O42,IF(E42,AC42*X42+BF41,BE42*Inputs!$G$20)),0))</f>
        <v>2284776.76989026</v>
      </c>
      <c r="AE42" s="64" t="n">
        <f aca="false">IF(AB42,P42,IF(D42,MAX(MIN(P42,X42-MIN(O42,AC42*X42)),0),0))</f>
        <v>0</v>
      </c>
      <c r="AF42" s="64" t="n">
        <f aca="false">IF(OR(AB42,E42),0,MAX(H42-I42-K42-L42,0))</f>
        <v>28184758.4419344</v>
      </c>
      <c r="AG42" s="64" t="n">
        <f aca="false">IF(E42,0,O42-AD42)</f>
        <v>21810381.070282</v>
      </c>
      <c r="AH42" s="64" t="n">
        <f aca="false">IF(OR(AB42,E42),0,P42-AE42)</f>
        <v>6581390.33819556</v>
      </c>
      <c r="AI42" s="64" t="n">
        <f aca="false">IF(D42,R42+AD42,0)</f>
        <v>2439456.97426513</v>
      </c>
      <c r="AJ42" s="65" t="n">
        <f aca="false">(C42-Inputs!$G$6)/365</f>
        <v>7.8958904109589</v>
      </c>
      <c r="AK42" s="29" t="n">
        <f aca="false">AG42/Inputs!$C$10</f>
        <v>0.0154273252486522</v>
      </c>
      <c r="AL42" s="5"/>
      <c r="AM42" s="66" t="n">
        <f aca="false">F42</f>
        <v>0.255555555555556</v>
      </c>
      <c r="AN42" s="5"/>
      <c r="AO42" s="5" t="n">
        <f aca="false">AO41+LN(1+($G42+AO$7)*$AM42)</f>
        <v>0.200466740691217</v>
      </c>
      <c r="AP42" s="5" t="n">
        <f aca="false">AP41+LN(1+($G42+AP$7)*$AM42)</f>
        <v>0.201262258562447</v>
      </c>
      <c r="AQ42" s="5" t="n">
        <f aca="false">AQ41+LN(1+($G42+AQ$7)*$AM42)</f>
        <v>0.226815347724466</v>
      </c>
      <c r="AR42" s="5" t="n">
        <f aca="false">AR41+LN(1+($G42+AR$7)*$AM42)</f>
        <v>0.227610207152906</v>
      </c>
      <c r="AS42" s="5" t="n">
        <f aca="false">AS41+LN(1+($G42+AS$7)*$AM42)</f>
        <v>0.227104279408855</v>
      </c>
      <c r="AT42" s="5" t="n">
        <f aca="false">AT41+LN(1+($G42+AT$7)*$AM42)</f>
        <v>0.227899131620031</v>
      </c>
      <c r="AU42" s="5" t="n">
        <f aca="false">AU41+LN(1+($G42+AU$7)*$AM42)</f>
        <v>0.22710421771919</v>
      </c>
      <c r="AV42" s="5" t="n">
        <f aca="false">AV41+LN(1+($G42+AV$7)*$AM42)</f>
        <v>0.227899069931907</v>
      </c>
      <c r="AW42" s="5" t="n">
        <f aca="false">AW41+LN(1+($G42+AW$7)*$AM42)</f>
        <v>0.227104217739879</v>
      </c>
      <c r="AX42" s="5" t="n">
        <f aca="false">AX41+LN(1+($G42+AX$7)*$AM42)</f>
        <v>0.227899069952597</v>
      </c>
      <c r="AY42" s="5" t="n">
        <f aca="false">AY41+LN(1+($G42+AY$7)*$AM42)</f>
        <v>0.227104217739875</v>
      </c>
      <c r="AZ42" s="5" t="n">
        <f aca="false">AZ41+LN(1+($G42+AZ$7)*$AM42)</f>
        <v>0.22789906995259</v>
      </c>
      <c r="BA42" s="5" t="n">
        <f aca="false">BA41+LN(1+($G42+BA$7)*$AM42)</f>
        <v>0.227104217739875</v>
      </c>
      <c r="BB42" s="5" t="n">
        <f aca="false">BB41+LN(1+($G42+BB$7)*$AM42)</f>
        <v>0.22789906995259</v>
      </c>
      <c r="BC42" s="5" t="n">
        <f aca="false">BC41+LN(1+($G42+BC$7)*$AM42)</f>
        <v>0.227104217739875</v>
      </c>
      <c r="BD42" s="5" t="n">
        <f aca="false">BD41+LN(1+($G42+BD$7)*$AM42)</f>
        <v>0.22789906995259</v>
      </c>
      <c r="BE42" s="5" t="n">
        <f aca="false">IF(AB42,O42,IF(D42,MIN(O42,AC42*X42+BF41),0))</f>
        <v>2284776.76989026</v>
      </c>
      <c r="BF42" s="5" t="n">
        <f aca="false">IF(OR(AB42,E42),0,BE42-AD42)</f>
        <v>0</v>
      </c>
      <c r="BG42" s="5" t="n">
        <f aca="false">BG41+LN(1+($G42+BG$7)*$AM42)</f>
        <v>0.219154603402885</v>
      </c>
      <c r="BH42" s="5"/>
      <c r="BI42" s="5" t="n">
        <f aca="false">BI41+LN(1+($G42+BI$7)*$AM42)</f>
        <v>0.23505184653943</v>
      </c>
      <c r="BJ42" s="5"/>
      <c r="BK42" s="62" t="n">
        <f aca="false">C42</f>
        <v>49171</v>
      </c>
      <c r="BL42" s="67" t="n">
        <f aca="false">AI42</f>
        <v>2439456.97426513</v>
      </c>
    </row>
    <row r="43" customFormat="false" ht="15" hidden="false" customHeight="true" outlineLevel="0" collapsed="false">
      <c r="A43" s="3" t="n">
        <v>33</v>
      </c>
      <c r="B43" s="38" t="n">
        <f aca="false">EDATE(Inputs!$C$8,3*(A43-1))</f>
        <v>49263</v>
      </c>
      <c r="C43" s="38" t="n">
        <f aca="false">WORKDAY(B43-1,1)</f>
        <v>49263</v>
      </c>
      <c r="D43" s="61" t="b">
        <f aca="false">C43&lt;=Inputs!$C$9</f>
        <v>1</v>
      </c>
      <c r="E43" s="61" t="b">
        <f aca="false">AND(D43,NOT(D44))</f>
        <v>0</v>
      </c>
      <c r="F43" s="63" t="n">
        <f aca="false">(C43-C42)/360</f>
        <v>0.255555555555556</v>
      </c>
      <c r="G43" s="57" t="n">
        <f aca="false">Curve!D36</f>
        <v>0.02252</v>
      </c>
      <c r="H43" s="64" t="n">
        <f aca="false">AF42</f>
        <v>28184758.4419344</v>
      </c>
      <c r="I43" s="64" t="n">
        <f aca="false">IF(D43,H43*Inputs!$G$22,0)</f>
        <v>7048.83347400044</v>
      </c>
      <c r="J43" s="32" t="n">
        <f aca="false">MAX(Inputs!$G$24-(A43-1),1)</f>
        <v>13.5917704676111</v>
      </c>
      <c r="K43" s="64" t="n">
        <f aca="false">IF(D43,MIN(H43-I43,IF(J43&gt;1,(H43-I43)*Inputs!$G$23/((1+Inputs!$G$23)^J43-1),H43-I43)),0)</f>
        <v>1971565.41678838</v>
      </c>
      <c r="L43" s="64" t="n">
        <f aca="false">IF(D43,(H43-I43-K43)*Inputs!$G$21,0)</f>
        <v>282314.442936995</v>
      </c>
      <c r="M43" s="64" t="n">
        <f aca="false">IF(A43&gt;Inputs!$G$13,(1-Inputs!$G$12)*INDEX($I$11:$I$190,A43-Inputs!$G$13),0)</f>
        <v>9490.91686088392</v>
      </c>
      <c r="N43" s="64" t="n">
        <f aca="false">IF(D43,(H43-I43)*Inputs!$G$23,0)</f>
        <v>223590.125743133</v>
      </c>
      <c r="O43" s="64" t="n">
        <f aca="false">AG42</f>
        <v>21810381.070282</v>
      </c>
      <c r="P43" s="64" t="n">
        <f aca="false">AH42</f>
        <v>6581390.33819556</v>
      </c>
      <c r="Q43" s="64" t="n">
        <f aca="false">IF(AND(D43,O43+P43&gt;0),Inputs!$C$25+Inputs!$C$26*H43/4,0)</f>
        <v>107046.189610484</v>
      </c>
      <c r="R43" s="64" t="n">
        <f aca="false">O43*IF(Inputs!$G$19="",G43+Inputs!$C$13,MAX(Inputs!$G$19,G43+Inputs!$C$13))*F43</f>
        <v>140012.952968513</v>
      </c>
      <c r="S43" s="64" t="n">
        <f aca="false">P43*(G43+Inputs!$C$14)*F43</f>
        <v>49755.3109567584</v>
      </c>
      <c r="T43" s="64" t="n">
        <f aca="false">N43+M43-Q43-R43-S43</f>
        <v>-63733.4109317377</v>
      </c>
      <c r="U43" s="64" t="n">
        <f aca="false">W42</f>
        <v>210451.406543149</v>
      </c>
      <c r="V43" s="64" t="n">
        <f aca="false">MIN(U43+I43,MAX(T43,0))</f>
        <v>0</v>
      </c>
      <c r="W43" s="64" t="n">
        <f aca="false">U43+I43-V43</f>
        <v>217500.24001715</v>
      </c>
      <c r="X43" s="64" t="n">
        <f aca="false">K43+L43+V43+IF(E43,H43-I43-K43-L43,0)</f>
        <v>2253879.85972538</v>
      </c>
      <c r="Y43" s="61" t="b">
        <f aca="false">AND(Inputs!$C$21=1,O43/Inputs!$C$10&lt;=Inputs!$C$22,Inputs!$G$14&lt;Inputs!$C$23,W43&lt;1)</f>
        <v>0</v>
      </c>
      <c r="Z43" s="61" t="b">
        <f aca="false">OR(AND(Inputs!$G$15=1,H43/Inputs!$C$17&lt;=Inputs!$C$24),AND(Inputs!$G$15=2,C43&gt;=Inputs!$G$16))</f>
        <v>0</v>
      </c>
      <c r="AA43" s="61" t="b">
        <f aca="false">OR(AA42,Z43)</f>
        <v>0</v>
      </c>
      <c r="AB43" s="61" t="b">
        <f aca="false">AND(Z43,NOT(AA42),D43,O43&gt;0)</f>
        <v>0</v>
      </c>
      <c r="AC43" s="63" t="n">
        <f aca="false">IF(AND(Y43,NOT(E43),O43+P43&gt;0),O43/(O43+P43),1)</f>
        <v>1</v>
      </c>
      <c r="AD43" s="64" t="n">
        <f aca="false">IF(AB43,O43,IF(D43,MIN(O43,IF(E43,AC43*X43+BF42,BE43*Inputs!$G$20)),0))</f>
        <v>2253879.85972538</v>
      </c>
      <c r="AE43" s="64" t="n">
        <f aca="false">IF(AB43,P43,IF(D43,MAX(MIN(P43,X43-MIN(O43,AC43*X43)),0),0))</f>
        <v>0</v>
      </c>
      <c r="AF43" s="64" t="n">
        <f aca="false">IF(OR(AB43,E43),0,MAX(H43-I43-K43-L43,0))</f>
        <v>25923829.748735</v>
      </c>
      <c r="AG43" s="64" t="n">
        <f aca="false">IF(E43,0,O43-AD43)</f>
        <v>19556501.2105566</v>
      </c>
      <c r="AH43" s="64" t="n">
        <f aca="false">IF(OR(AB43,E43),0,P43-AE43)</f>
        <v>6581390.33819556</v>
      </c>
      <c r="AI43" s="64" t="n">
        <f aca="false">IF(D43,R43+AD43,0)</f>
        <v>2393892.81269389</v>
      </c>
      <c r="AJ43" s="65" t="n">
        <f aca="false">(C43-Inputs!$G$6)/365</f>
        <v>8.14794520547945</v>
      </c>
      <c r="AK43" s="29" t="n">
        <f aca="false">AG43/Inputs!$C$10</f>
        <v>0.0138330689376174</v>
      </c>
      <c r="AL43" s="5"/>
      <c r="AM43" s="66" t="n">
        <f aca="false">F43</f>
        <v>0.255555555555556</v>
      </c>
      <c r="AN43" s="5"/>
      <c r="AO43" s="5" t="n">
        <f aca="false">AO42+LN(1+($G43+AO$7)*$AM43)</f>
        <v>0.206865778662375</v>
      </c>
      <c r="AP43" s="5" t="n">
        <f aca="false">AP42+LN(1+($G43+AP$7)*$AM43)</f>
        <v>0.207686688757911</v>
      </c>
      <c r="AQ43" s="5" t="n">
        <f aca="false">AQ42+LN(1+($G43+AQ$7)*$AM43)</f>
        <v>0.234055404551947</v>
      </c>
      <c r="AR43" s="5" t="n">
        <f aca="false">AR42+LN(1+($G43+AR$7)*$AM43)</f>
        <v>0.234875634858602</v>
      </c>
      <c r="AS43" s="5" t="n">
        <f aca="false">AS42+LN(1+($G43+AS$7)*$AM43)</f>
        <v>0.234353558560721</v>
      </c>
      <c r="AT43" s="5" t="n">
        <f aca="false">AT42+LN(1+($G43+AT$7)*$AM43)</f>
        <v>0.235173781416138</v>
      </c>
      <c r="AU43" s="5" t="n">
        <f aca="false">AU42+LN(1+($G43+AU$7)*$AM43)</f>
        <v>0.234353494902002</v>
      </c>
      <c r="AV43" s="5" t="n">
        <f aca="false">AV42+LN(1+($G43+AV$7)*$AM43)</f>
        <v>0.23517371775901</v>
      </c>
      <c r="AW43" s="5" t="n">
        <f aca="false">AW42+LN(1+($G43+AW$7)*$AM43)</f>
        <v>0.234353494923351</v>
      </c>
      <c r="AX43" s="5" t="n">
        <f aca="false">AX42+LN(1+($G43+AX$7)*$AM43)</f>
        <v>0.23517371778036</v>
      </c>
      <c r="AY43" s="5" t="n">
        <f aca="false">AY42+LN(1+($G43+AY$7)*$AM43)</f>
        <v>0.234353494923348</v>
      </c>
      <c r="AZ43" s="5" t="n">
        <f aca="false">AZ42+LN(1+($G43+AZ$7)*$AM43)</f>
        <v>0.235173717780353</v>
      </c>
      <c r="BA43" s="5" t="n">
        <f aca="false">BA42+LN(1+($G43+BA$7)*$AM43)</f>
        <v>0.234353494923348</v>
      </c>
      <c r="BB43" s="5" t="n">
        <f aca="false">BB42+LN(1+($G43+BB$7)*$AM43)</f>
        <v>0.235173717780353</v>
      </c>
      <c r="BC43" s="5" t="n">
        <f aca="false">BC42+LN(1+($G43+BC$7)*$AM43)</f>
        <v>0.234353494923348</v>
      </c>
      <c r="BD43" s="5" t="n">
        <f aca="false">BD42+LN(1+($G43+BD$7)*$AM43)</f>
        <v>0.235173717780353</v>
      </c>
      <c r="BE43" s="5" t="n">
        <f aca="false">IF(AB43,O43,IF(D43,MIN(O43,AC43*X43+BF42),0))</f>
        <v>2253879.85972538</v>
      </c>
      <c r="BF43" s="5" t="n">
        <f aca="false">IF(OR(AB43,E43),0,BE43-AD43)</f>
        <v>0</v>
      </c>
      <c r="BG43" s="5" t="n">
        <f aca="false">BG42+LN(1+($G43+BG$7)*$AM43)</f>
        <v>0.226150138735336</v>
      </c>
      <c r="BH43" s="5"/>
      <c r="BI43" s="5" t="n">
        <f aca="false">BI42+LN(1+($G43+BI$7)*$AM43)</f>
        <v>0.24255480120533</v>
      </c>
      <c r="BJ43" s="5"/>
      <c r="BK43" s="62" t="n">
        <f aca="false">C43</f>
        <v>49263</v>
      </c>
      <c r="BL43" s="67" t="n">
        <f aca="false">AI43</f>
        <v>2393892.81269389</v>
      </c>
    </row>
    <row r="44" customFormat="false" ht="15" hidden="false" customHeight="true" outlineLevel="0" collapsed="false">
      <c r="A44" s="3" t="n">
        <v>34</v>
      </c>
      <c r="B44" s="38" t="n">
        <f aca="false">EDATE(Inputs!$C$8,3*(A44-1))</f>
        <v>49355</v>
      </c>
      <c r="C44" s="38" t="n">
        <f aca="false">WORKDAY(B44-1,1)</f>
        <v>49355</v>
      </c>
      <c r="D44" s="61" t="b">
        <f aca="false">C44&lt;=Inputs!$C$9</f>
        <v>1</v>
      </c>
      <c r="E44" s="61" t="b">
        <f aca="false">AND(D44,NOT(D45))</f>
        <v>0</v>
      </c>
      <c r="F44" s="63" t="n">
        <f aca="false">(C44-C43)/360</f>
        <v>0.255555555555556</v>
      </c>
      <c r="G44" s="57" t="n">
        <f aca="false">Curve!D37</f>
        <v>0.02252</v>
      </c>
      <c r="H44" s="64" t="n">
        <f aca="false">AF43</f>
        <v>25923829.748735</v>
      </c>
      <c r="I44" s="64" t="n">
        <f aca="false">IF(D44,H44*Inputs!$G$22,0)</f>
        <v>6483.38921490612</v>
      </c>
      <c r="J44" s="32" t="n">
        <f aca="false">MAX(Inputs!$G$24-(A44-1),1)</f>
        <v>12.5917704676111</v>
      </c>
      <c r="K44" s="64" t="n">
        <f aca="false">IF(D44,MIN(H44-I44,IF(J44&gt;1,(H44-I44)*Inputs!$G$23/((1+Inputs!$G$23)^J44-1),H44-I44)),0)</f>
        <v>1965310.27218405</v>
      </c>
      <c r="L44" s="64" t="n">
        <f aca="false">IF(D44,(H44-I44-K44)*Inputs!$G$21,0)</f>
        <v>258031.310357819</v>
      </c>
      <c r="M44" s="64" t="n">
        <f aca="false">IF(A44&gt;Inputs!$G$13,(1-Inputs!$G$12)*INDEX($I$11:$I$190,A44-Inputs!$G$13),0)</f>
        <v>8986.06612616899</v>
      </c>
      <c r="N44" s="64" t="n">
        <f aca="false">IF(D44,(H44-I44)*Inputs!$G$23,0)</f>
        <v>205654.143362792</v>
      </c>
      <c r="O44" s="64" t="n">
        <f aca="false">AG43</f>
        <v>19556501.2105566</v>
      </c>
      <c r="P44" s="64" t="n">
        <f aca="false">AH43</f>
        <v>6581390.33819556</v>
      </c>
      <c r="Q44" s="64" t="n">
        <f aca="false">IF(AND(D44,O44+P44&gt;0),Inputs!$C$25+Inputs!$C$26*H44/4,0)</f>
        <v>106480.957437184</v>
      </c>
      <c r="R44" s="64" t="n">
        <f aca="false">O44*IF(Inputs!$G$19="",G44+Inputs!$C$13,MAX(Inputs!$G$19,G44+Inputs!$C$13))*F44</f>
        <v>125544.045993458</v>
      </c>
      <c r="S44" s="64" t="n">
        <f aca="false">P44*(G44+Inputs!$C$14)*F44</f>
        <v>49755.3109567584</v>
      </c>
      <c r="T44" s="64" t="n">
        <f aca="false">N44+M44-Q44-R44-S44</f>
        <v>-67140.1048984391</v>
      </c>
      <c r="U44" s="64" t="n">
        <f aca="false">W43</f>
        <v>217500.24001715</v>
      </c>
      <c r="V44" s="64" t="n">
        <f aca="false">MIN(U44+I44,MAX(T44,0))</f>
        <v>0</v>
      </c>
      <c r="W44" s="64" t="n">
        <f aca="false">U44+I44-V44</f>
        <v>223983.629232056</v>
      </c>
      <c r="X44" s="64" t="n">
        <f aca="false">K44+L44+V44+IF(E44,H44-I44-K44-L44,0)</f>
        <v>2223341.58254187</v>
      </c>
      <c r="Y44" s="61" t="b">
        <f aca="false">AND(Inputs!$C$21=1,O44/Inputs!$C$10&lt;=Inputs!$C$22,Inputs!$G$14&lt;Inputs!$C$23,W44&lt;1)</f>
        <v>0</v>
      </c>
      <c r="Z44" s="61" t="b">
        <f aca="false">OR(AND(Inputs!$G$15=1,H44/Inputs!$C$17&lt;=Inputs!$C$24),AND(Inputs!$G$15=2,C44&gt;=Inputs!$G$16))</f>
        <v>0</v>
      </c>
      <c r="AA44" s="61" t="b">
        <f aca="false">OR(AA43,Z44)</f>
        <v>0</v>
      </c>
      <c r="AB44" s="61" t="b">
        <f aca="false">AND(Z44,NOT(AA43),D44,O44&gt;0)</f>
        <v>0</v>
      </c>
      <c r="AC44" s="63" t="n">
        <f aca="false">IF(AND(Y44,NOT(E44),O44+P44&gt;0),O44/(O44+P44),1)</f>
        <v>1</v>
      </c>
      <c r="AD44" s="64" t="n">
        <f aca="false">IF(AB44,O44,IF(D44,MIN(O44,IF(E44,AC44*X44+BF43,BE44*Inputs!$G$20)),0))</f>
        <v>2223341.58254187</v>
      </c>
      <c r="AE44" s="64" t="n">
        <f aca="false">IF(AB44,P44,IF(D44,MAX(MIN(P44,X44-MIN(O44,AC44*X44)),0),0))</f>
        <v>0</v>
      </c>
      <c r="AF44" s="64" t="n">
        <f aca="false">IF(OR(AB44,E44),0,MAX(H44-I44-K44-L44,0))</f>
        <v>23694004.7769782</v>
      </c>
      <c r="AG44" s="64" t="n">
        <f aca="false">IF(E44,0,O44-AD44)</f>
        <v>17333159.6280148</v>
      </c>
      <c r="AH44" s="64" t="n">
        <f aca="false">IF(OR(AB44,E44),0,P44-AE44)</f>
        <v>6581390.33819556</v>
      </c>
      <c r="AI44" s="64" t="n">
        <f aca="false">IF(D44,R44+AD44,0)</f>
        <v>2348885.62853533</v>
      </c>
      <c r="AJ44" s="65" t="n">
        <f aca="false">(C44-Inputs!$G$6)/365</f>
        <v>8.4</v>
      </c>
      <c r="AK44" s="29" t="n">
        <f aca="false">AG44/Inputs!$C$10</f>
        <v>0.0122604135299839</v>
      </c>
      <c r="AL44" s="5"/>
      <c r="AM44" s="66" t="n">
        <f aca="false">F44</f>
        <v>0.255555555555556</v>
      </c>
      <c r="AN44" s="5"/>
      <c r="AO44" s="5" t="n">
        <f aca="false">AO43+LN(1+($G44+AO$7)*$AM44)</f>
        <v>0.213264816633532</v>
      </c>
      <c r="AP44" s="5" t="n">
        <f aca="false">AP43+LN(1+($G44+AP$7)*$AM44)</f>
        <v>0.214111118953374</v>
      </c>
      <c r="AQ44" s="5" t="n">
        <f aca="false">AQ43+LN(1+($G44+AQ$7)*$AM44)</f>
        <v>0.241295461379427</v>
      </c>
      <c r="AR44" s="5" t="n">
        <f aca="false">AR43+LN(1+($G44+AR$7)*$AM44)</f>
        <v>0.242141062564298</v>
      </c>
      <c r="AS44" s="5" t="n">
        <f aca="false">AS43+LN(1+($G44+AS$7)*$AM44)</f>
        <v>0.241602837712587</v>
      </c>
      <c r="AT44" s="5" t="n">
        <f aca="false">AT43+LN(1+($G44+AT$7)*$AM44)</f>
        <v>0.242448431212244</v>
      </c>
      <c r="AU44" s="5" t="n">
        <f aca="false">AU43+LN(1+($G44+AU$7)*$AM44)</f>
        <v>0.241602772084815</v>
      </c>
      <c r="AV44" s="5" t="n">
        <f aca="false">AV43+LN(1+($G44+AV$7)*$AM44)</f>
        <v>0.242448365586113</v>
      </c>
      <c r="AW44" s="5" t="n">
        <f aca="false">AW43+LN(1+($G44+AW$7)*$AM44)</f>
        <v>0.241602772106824</v>
      </c>
      <c r="AX44" s="5" t="n">
        <f aca="false">AX43+LN(1+($G44+AX$7)*$AM44)</f>
        <v>0.242448365608124</v>
      </c>
      <c r="AY44" s="5" t="n">
        <f aca="false">AY43+LN(1+($G44+AY$7)*$AM44)</f>
        <v>0.24160277210682</v>
      </c>
      <c r="AZ44" s="5" t="n">
        <f aca="false">AZ43+LN(1+($G44+AZ$7)*$AM44)</f>
        <v>0.242448365608116</v>
      </c>
      <c r="BA44" s="5" t="n">
        <f aca="false">BA43+LN(1+($G44+BA$7)*$AM44)</f>
        <v>0.24160277210682</v>
      </c>
      <c r="BB44" s="5" t="n">
        <f aca="false">BB43+LN(1+($G44+BB$7)*$AM44)</f>
        <v>0.242448365608116</v>
      </c>
      <c r="BC44" s="5" t="n">
        <f aca="false">BC43+LN(1+($G44+BC$7)*$AM44)</f>
        <v>0.24160277210682</v>
      </c>
      <c r="BD44" s="5" t="n">
        <f aca="false">BD43+LN(1+($G44+BD$7)*$AM44)</f>
        <v>0.242448365608116</v>
      </c>
      <c r="BE44" s="5" t="n">
        <f aca="false">IF(AB44,O44,IF(D44,MIN(O44,AC44*X44+BF43),0))</f>
        <v>2223341.58254187</v>
      </c>
      <c r="BF44" s="5" t="n">
        <f aca="false">IF(OR(AB44,E44),0,BE44-AD44)</f>
        <v>0</v>
      </c>
      <c r="BG44" s="5" t="n">
        <f aca="false">BG43+LN(1+($G44+BG$7)*$AM44)</f>
        <v>0.233145674067787</v>
      </c>
      <c r="BH44" s="5"/>
      <c r="BI44" s="5" t="n">
        <f aca="false">BI43+LN(1+($G44+BI$7)*$AM44)</f>
        <v>0.25005775587123</v>
      </c>
      <c r="BJ44" s="5"/>
      <c r="BK44" s="62" t="n">
        <f aca="false">C44</f>
        <v>49355</v>
      </c>
      <c r="BL44" s="67" t="n">
        <f aca="false">AI44</f>
        <v>2348885.62853533</v>
      </c>
    </row>
    <row r="45" customFormat="false" ht="15" hidden="false" customHeight="true" outlineLevel="0" collapsed="false">
      <c r="A45" s="3" t="n">
        <v>35</v>
      </c>
      <c r="B45" s="38" t="n">
        <f aca="false">EDATE(Inputs!$C$8,3*(A45-1))</f>
        <v>49444</v>
      </c>
      <c r="C45" s="38" t="n">
        <f aca="false">WORKDAY(B45-1,1)</f>
        <v>49444</v>
      </c>
      <c r="D45" s="61" t="b">
        <f aca="false">C45&lt;=Inputs!$C$9</f>
        <v>1</v>
      </c>
      <c r="E45" s="61" t="b">
        <f aca="false">AND(D45,NOT(D46))</f>
        <v>0</v>
      </c>
      <c r="F45" s="63" t="n">
        <f aca="false">(C45-C44)/360</f>
        <v>0.247222222222222</v>
      </c>
      <c r="G45" s="57" t="n">
        <f aca="false">Curve!D38</f>
        <v>0.02252</v>
      </c>
      <c r="H45" s="64" t="n">
        <f aca="false">AF44</f>
        <v>23694004.7769782</v>
      </c>
      <c r="I45" s="64" t="n">
        <f aca="false">IF(D45,H45*Inputs!$G$22,0)</f>
        <v>5925.7238038485</v>
      </c>
      <c r="J45" s="32" t="n">
        <f aca="false">MAX(Inputs!$G$24-(A45-1),1)</f>
        <v>11.5917704676111</v>
      </c>
      <c r="K45" s="64" t="n">
        <f aca="false">IF(D45,MIN(H45-I45,IF(J45&gt;1,(H45-I45)*Inputs!$G$23/((1+Inputs!$G$23)^J45-1),H45-I45)),0)</f>
        <v>1959074.97314695</v>
      </c>
      <c r="L45" s="64" t="n">
        <f aca="false">IF(D45,(H45-I45-K45)*Inputs!$G$21,0)</f>
        <v>234082.955415397</v>
      </c>
      <c r="M45" s="64" t="n">
        <f aca="false">IF(A45&gt;Inputs!$G$13,(1-Inputs!$G$12)*INDEX($I$11:$I$190,A45-Inputs!$G$13),0)</f>
        <v>8488.04885669096</v>
      </c>
      <c r="N45" s="64" t="n">
        <f aca="false">IF(D45,(H45-I45)*Inputs!$G$23,0)</f>
        <v>187964.907286939</v>
      </c>
      <c r="O45" s="64" t="n">
        <f aca="false">AG44</f>
        <v>17333159.6280148</v>
      </c>
      <c r="P45" s="64" t="n">
        <f aca="false">AH44</f>
        <v>6581390.33819556</v>
      </c>
      <c r="Q45" s="64" t="n">
        <f aca="false">IF(AND(D45,O45+P45&gt;0),Inputs!$C$25+Inputs!$C$26*H45/4,0)</f>
        <v>105923.501194245</v>
      </c>
      <c r="R45" s="64" t="n">
        <f aca="false">O45*IF(Inputs!$G$19="",G45+Inputs!$C$13,MAX(Inputs!$G$19,G45+Inputs!$C$13))*F45</f>
        <v>107642.773103222</v>
      </c>
      <c r="S45" s="64" t="n">
        <f aca="false">P45*(G45+Inputs!$C$14)*F45</f>
        <v>48132.8551646902</v>
      </c>
      <c r="T45" s="64" t="n">
        <f aca="false">N45+M45-Q45-R45-S45</f>
        <v>-65246.1733185276</v>
      </c>
      <c r="U45" s="64" t="n">
        <f aca="false">W44</f>
        <v>223983.629232056</v>
      </c>
      <c r="V45" s="64" t="n">
        <f aca="false">MIN(U45+I45,MAX(T45,0))</f>
        <v>0</v>
      </c>
      <c r="W45" s="64" t="n">
        <f aca="false">U45+I45-V45</f>
        <v>229909.353035904</v>
      </c>
      <c r="X45" s="64" t="n">
        <f aca="false">K45+L45+V45+IF(E45,H45-I45-K45-L45,0)</f>
        <v>2193157.92856235</v>
      </c>
      <c r="Y45" s="61" t="b">
        <f aca="false">AND(Inputs!$C$21=1,O45/Inputs!$C$10&lt;=Inputs!$C$22,Inputs!$G$14&lt;Inputs!$C$23,W45&lt;1)</f>
        <v>0</v>
      </c>
      <c r="Z45" s="61" t="b">
        <f aca="false">OR(AND(Inputs!$G$15=1,H45/Inputs!$C$17&lt;=Inputs!$C$24),AND(Inputs!$G$15=2,C45&gt;=Inputs!$G$16))</f>
        <v>0</v>
      </c>
      <c r="AA45" s="61" t="b">
        <f aca="false">OR(AA44,Z45)</f>
        <v>0</v>
      </c>
      <c r="AB45" s="61" t="b">
        <f aca="false">AND(Z45,NOT(AA44),D45,O45&gt;0)</f>
        <v>0</v>
      </c>
      <c r="AC45" s="63" t="n">
        <f aca="false">IF(AND(Y45,NOT(E45),O45+P45&gt;0),O45/(O45+P45),1)</f>
        <v>1</v>
      </c>
      <c r="AD45" s="64" t="n">
        <f aca="false">IF(AB45,O45,IF(D45,MIN(O45,IF(E45,AC45*X45+BF44,BE45*Inputs!$G$20)),0))</f>
        <v>2193157.92856235</v>
      </c>
      <c r="AE45" s="64" t="n">
        <f aca="false">IF(AB45,P45,IF(D45,MAX(MIN(P45,X45-MIN(O45,AC45*X45)),0),0))</f>
        <v>0</v>
      </c>
      <c r="AF45" s="64" t="n">
        <f aca="false">IF(OR(AB45,E45),0,MAX(H45-I45-K45-L45,0))</f>
        <v>21494921.124612</v>
      </c>
      <c r="AG45" s="64" t="n">
        <f aca="false">IF(E45,0,O45-AD45)</f>
        <v>15140001.6994524</v>
      </c>
      <c r="AH45" s="64" t="n">
        <f aca="false">IF(OR(AB45,E45),0,P45-AE45)</f>
        <v>6581390.33819556</v>
      </c>
      <c r="AI45" s="64" t="n">
        <f aca="false">IF(D45,R45+AD45,0)</f>
        <v>2300800.70166557</v>
      </c>
      <c r="AJ45" s="65" t="n">
        <f aca="false">(C45-Inputs!$G$6)/365</f>
        <v>8.64383561643836</v>
      </c>
      <c r="AK45" s="29" t="n">
        <f aca="false">AG45/Inputs!$C$10</f>
        <v>0.0107091081870574</v>
      </c>
      <c r="AL45" s="5"/>
      <c r="AM45" s="66" t="n">
        <f aca="false">F45</f>
        <v>0.247222222222222</v>
      </c>
      <c r="AN45" s="5"/>
      <c r="AO45" s="5" t="n">
        <f aca="false">AO44+LN(1+($G45+AO$7)*$AM45)</f>
        <v>0.219455834891974</v>
      </c>
      <c r="AP45" s="5" t="n">
        <f aca="false">AP44+LN(1+($G45+AP$7)*$AM45)</f>
        <v>0.22032670654929</v>
      </c>
      <c r="AQ45" s="5" t="n">
        <f aca="false">AQ44+LN(1+($G45+AQ$7)*$AM45)</f>
        <v>0.248300254314296</v>
      </c>
      <c r="AR45" s="5" t="n">
        <f aca="false">AR44+LN(1+($G45+AR$7)*$AM45)</f>
        <v>0.249170404851114</v>
      </c>
      <c r="AS45" s="5" t="n">
        <f aca="false">AS44+LN(1+($G45+AS$7)*$AM45)</f>
        <v>0.248616554344381</v>
      </c>
      <c r="AT45" s="5" t="n">
        <f aca="false">AT44+LN(1+($G45+AT$7)*$AM45)</f>
        <v>0.249486696976919</v>
      </c>
      <c r="AU45" s="5" t="n">
        <f aca="false">AU44+LN(1+($G45+AU$7)*$AM45)</f>
        <v>0.248616486811315</v>
      </c>
      <c r="AV45" s="5" t="n">
        <f aca="false">AV44+LN(1+($G45+AV$7)*$AM45)</f>
        <v>0.249486629445539</v>
      </c>
      <c r="AW45" s="5" t="n">
        <f aca="false">AW44+LN(1+($G45+AW$7)*$AM45)</f>
        <v>0.248616486833963</v>
      </c>
      <c r="AX45" s="5" t="n">
        <f aca="false">AX44+LN(1+($G45+AX$7)*$AM45)</f>
        <v>0.24948662946819</v>
      </c>
      <c r="AY45" s="5" t="n">
        <f aca="false">AY44+LN(1+($G45+AY$7)*$AM45)</f>
        <v>0.248616486833959</v>
      </c>
      <c r="AZ45" s="5" t="n">
        <f aca="false">AZ44+LN(1+($G45+AZ$7)*$AM45)</f>
        <v>0.249486629468182</v>
      </c>
      <c r="BA45" s="5" t="n">
        <f aca="false">BA44+LN(1+($G45+BA$7)*$AM45)</f>
        <v>0.248616486833959</v>
      </c>
      <c r="BB45" s="5" t="n">
        <f aca="false">BB44+LN(1+($G45+BB$7)*$AM45)</f>
        <v>0.249486629468182</v>
      </c>
      <c r="BC45" s="5" t="n">
        <f aca="false">BC44+LN(1+($G45+BC$7)*$AM45)</f>
        <v>0.248616486833959</v>
      </c>
      <c r="BD45" s="5" t="n">
        <f aca="false">BD44+LN(1+($G45+BD$7)*$AM45)</f>
        <v>0.249486629468182</v>
      </c>
      <c r="BE45" s="5" t="n">
        <f aca="false">IF(AB45,O45,IF(D45,MIN(O45,AC45*X45+BF44),0))</f>
        <v>2193157.92856235</v>
      </c>
      <c r="BF45" s="5" t="n">
        <f aca="false">IF(OR(AB45,E45),0,BE45-AD45)</f>
        <v>0</v>
      </c>
      <c r="BG45" s="5" t="n">
        <f aca="false">BG44+LN(1+($G45+BG$7)*$AM45)</f>
        <v>0.239913864313665</v>
      </c>
      <c r="BH45" s="5"/>
      <c r="BI45" s="5" t="n">
        <f aca="false">BI44+LN(1+($G45+BI$7)*$AM45)</f>
        <v>0.257316934812155</v>
      </c>
      <c r="BJ45" s="5"/>
      <c r="BK45" s="62" t="n">
        <f aca="false">C45</f>
        <v>49444</v>
      </c>
      <c r="BL45" s="67" t="n">
        <f aca="false">AI45</f>
        <v>2300800.70166557</v>
      </c>
    </row>
    <row r="46" customFormat="false" ht="15" hidden="false" customHeight="true" outlineLevel="0" collapsed="false">
      <c r="A46" s="3" t="n">
        <v>36</v>
      </c>
      <c r="B46" s="38" t="n">
        <f aca="false">EDATE(Inputs!$C$8,3*(A46-1))</f>
        <v>49536</v>
      </c>
      <c r="C46" s="38" t="n">
        <f aca="false">WORKDAY(B46-1,1)</f>
        <v>49536</v>
      </c>
      <c r="D46" s="61" t="b">
        <f aca="false">C46&lt;=Inputs!$C$9</f>
        <v>1</v>
      </c>
      <c r="E46" s="61" t="b">
        <f aca="false">AND(D46,NOT(D47))</f>
        <v>0</v>
      </c>
      <c r="F46" s="63" t="n">
        <f aca="false">(C46-C45)/360</f>
        <v>0.255555555555556</v>
      </c>
      <c r="G46" s="57" t="n">
        <f aca="false">Curve!D39</f>
        <v>0.02252</v>
      </c>
      <c r="H46" s="64" t="n">
        <f aca="false">AF45</f>
        <v>21494921.124612</v>
      </c>
      <c r="I46" s="64" t="n">
        <f aca="false">IF(D46,H46*Inputs!$G$22,0)</f>
        <v>5375.74660631953</v>
      </c>
      <c r="J46" s="32" t="n">
        <f aca="false">MAX(Inputs!$G$24-(A46-1),1)</f>
        <v>10.5917704676111</v>
      </c>
      <c r="K46" s="64" t="n">
        <f aca="false">IF(D46,MIN(H46-I46,IF(J46&gt;1,(H46-I46)*Inputs!$G$23/((1+Inputs!$G$23)^J46-1),H46-I46)),0)</f>
        <v>1952859.45671346</v>
      </c>
      <c r="L46" s="64" t="n">
        <f aca="false">IF(D46,(H46-I46-K46)*Inputs!$G$21,0)</f>
        <v>210465.475667245</v>
      </c>
      <c r="M46" s="64" t="n">
        <f aca="false">IF(A46&gt;Inputs!$G$13,(1-Inputs!$G$12)*INDEX($I$11:$I$190,A46-Inputs!$G$13),0)</f>
        <v>7996.78571710575</v>
      </c>
      <c r="N46" s="64" t="n">
        <f aca="false">IF(D46,(H46-I46)*Inputs!$G$23,0)</f>
        <v>170519.542574475</v>
      </c>
      <c r="O46" s="64" t="n">
        <f aca="false">AG45</f>
        <v>15140001.6994524</v>
      </c>
      <c r="P46" s="64" t="n">
        <f aca="false">AH45</f>
        <v>6581390.33819556</v>
      </c>
      <c r="Q46" s="64" t="n">
        <f aca="false">IF(AND(D46,O46+P46&gt;0),Inputs!$C$25+Inputs!$C$26*H46/4,0)</f>
        <v>105373.730281153</v>
      </c>
      <c r="R46" s="64" t="n">
        <f aca="false">O46*IF(Inputs!$G$19="",G46+Inputs!$C$13,MAX(Inputs!$G$19,G46+Inputs!$C$13))*F46</f>
        <v>97192.0820208404</v>
      </c>
      <c r="S46" s="64" t="n">
        <f aca="false">P46*(G46+Inputs!$C$14)*F46</f>
        <v>49755.3109567584</v>
      </c>
      <c r="T46" s="64" t="n">
        <f aca="false">N46+M46-Q46-R46-S46</f>
        <v>-73804.7949671708</v>
      </c>
      <c r="U46" s="64" t="n">
        <f aca="false">W45</f>
        <v>229909.353035904</v>
      </c>
      <c r="V46" s="64" t="n">
        <f aca="false">MIN(U46+I46,MAX(T46,0))</f>
        <v>0</v>
      </c>
      <c r="W46" s="64" t="n">
        <f aca="false">U46+I46-V46</f>
        <v>235285.099642224</v>
      </c>
      <c r="X46" s="64" t="n">
        <f aca="false">K46+L46+V46+IF(E46,H46-I46-K46-L46,0)</f>
        <v>2163324.9323807</v>
      </c>
      <c r="Y46" s="61" t="b">
        <f aca="false">AND(Inputs!$C$21=1,O46/Inputs!$C$10&lt;=Inputs!$C$22,Inputs!$G$14&lt;Inputs!$C$23,W46&lt;1)</f>
        <v>0</v>
      </c>
      <c r="Z46" s="61" t="b">
        <f aca="false">OR(AND(Inputs!$G$15=1,H46/Inputs!$C$17&lt;=Inputs!$C$24),AND(Inputs!$G$15=2,C46&gt;=Inputs!$G$16))</f>
        <v>0</v>
      </c>
      <c r="AA46" s="61" t="b">
        <f aca="false">OR(AA45,Z46)</f>
        <v>0</v>
      </c>
      <c r="AB46" s="61" t="b">
        <f aca="false">AND(Z46,NOT(AA45),D46,O46&gt;0)</f>
        <v>0</v>
      </c>
      <c r="AC46" s="63" t="n">
        <f aca="false">IF(AND(Y46,NOT(E46),O46+P46&gt;0),O46/(O46+P46),1)</f>
        <v>1</v>
      </c>
      <c r="AD46" s="64" t="n">
        <f aca="false">IF(AB46,O46,IF(D46,MIN(O46,IF(E46,AC46*X46+BF45,BE46*Inputs!$G$20)),0))</f>
        <v>2163324.9323807</v>
      </c>
      <c r="AE46" s="64" t="n">
        <f aca="false">IF(AB46,P46,IF(D46,MAX(MIN(P46,X46-MIN(O46,AC46*X46)),0),0))</f>
        <v>0</v>
      </c>
      <c r="AF46" s="64" t="n">
        <f aca="false">IF(OR(AB46,E46),0,MAX(H46-I46-K46-L46,0))</f>
        <v>19326220.445625</v>
      </c>
      <c r="AG46" s="64" t="n">
        <f aca="false">IF(E46,0,O46-AD46)</f>
        <v>12976676.7670717</v>
      </c>
      <c r="AH46" s="64" t="n">
        <f aca="false">IF(OR(AB46,E46),0,P46-AE46)</f>
        <v>6581390.33819556</v>
      </c>
      <c r="AI46" s="64" t="n">
        <f aca="false">IF(D46,R46+AD46,0)</f>
        <v>2260517.01440154</v>
      </c>
      <c r="AJ46" s="65" t="n">
        <f aca="false">(C46-Inputs!$G$6)/365</f>
        <v>8.8958904109589</v>
      </c>
      <c r="AK46" s="29" t="n">
        <f aca="false">AG46/Inputs!$C$10</f>
        <v>0.00917890487502863</v>
      </c>
      <c r="AL46" s="5"/>
      <c r="AM46" s="66" t="n">
        <f aca="false">F46</f>
        <v>0.255555555555556</v>
      </c>
      <c r="AN46" s="5"/>
      <c r="AO46" s="5" t="n">
        <f aca="false">AO45+LN(1+($G46+AO$7)*$AM46)</f>
        <v>0.225854872863132</v>
      </c>
      <c r="AP46" s="5" t="n">
        <f aca="false">AP45+LN(1+($G46+AP$7)*$AM46)</f>
        <v>0.226751136744754</v>
      </c>
      <c r="AQ46" s="5" t="n">
        <f aca="false">AQ45+LN(1+($G46+AQ$7)*$AM46)</f>
        <v>0.255540311141777</v>
      </c>
      <c r="AR46" s="5" t="n">
        <f aca="false">AR45+LN(1+($G46+AR$7)*$AM46)</f>
        <v>0.25643583255681</v>
      </c>
      <c r="AS46" s="5" t="n">
        <f aca="false">AS45+LN(1+($G46+AS$7)*$AM46)</f>
        <v>0.255865833496248</v>
      </c>
      <c r="AT46" s="5" t="n">
        <f aca="false">AT45+LN(1+($G46+AT$7)*$AM46)</f>
        <v>0.256761346773026</v>
      </c>
      <c r="AU46" s="5" t="n">
        <f aca="false">AU45+LN(1+($G46+AU$7)*$AM46)</f>
        <v>0.255865763994127</v>
      </c>
      <c r="AV46" s="5" t="n">
        <f aca="false">AV45+LN(1+($G46+AV$7)*$AM46)</f>
        <v>0.256761277272642</v>
      </c>
      <c r="AW46" s="5" t="n">
        <f aca="false">AW45+LN(1+($G46+AW$7)*$AM46)</f>
        <v>0.255865764017436</v>
      </c>
      <c r="AX46" s="5" t="n">
        <f aca="false">AX45+LN(1+($G46+AX$7)*$AM46)</f>
        <v>0.256761277295953</v>
      </c>
      <c r="AY46" s="5" t="n">
        <f aca="false">AY45+LN(1+($G46+AY$7)*$AM46)</f>
        <v>0.255865764017432</v>
      </c>
      <c r="AZ46" s="5" t="n">
        <f aca="false">AZ45+LN(1+($G46+AZ$7)*$AM46)</f>
        <v>0.256761277295945</v>
      </c>
      <c r="BA46" s="5" t="n">
        <f aca="false">BA45+LN(1+($G46+BA$7)*$AM46)</f>
        <v>0.255865764017432</v>
      </c>
      <c r="BB46" s="5" t="n">
        <f aca="false">BB45+LN(1+($G46+BB$7)*$AM46)</f>
        <v>0.256761277295945</v>
      </c>
      <c r="BC46" s="5" t="n">
        <f aca="false">BC45+LN(1+($G46+BC$7)*$AM46)</f>
        <v>0.255865764017432</v>
      </c>
      <c r="BD46" s="5" t="n">
        <f aca="false">BD45+LN(1+($G46+BD$7)*$AM46)</f>
        <v>0.256761277295945</v>
      </c>
      <c r="BE46" s="5" t="n">
        <f aca="false">IF(AB46,O46,IF(D46,MIN(O46,AC46*X46+BF45),0))</f>
        <v>2163324.9323807</v>
      </c>
      <c r="BF46" s="5" t="n">
        <f aca="false">IF(OR(AB46,E46),0,BE46-AD46)</f>
        <v>0</v>
      </c>
      <c r="BG46" s="5" t="n">
        <f aca="false">BG45+LN(1+($G46+BG$7)*$AM46)</f>
        <v>0.246909399646116</v>
      </c>
      <c r="BH46" s="5"/>
      <c r="BI46" s="5" t="n">
        <f aca="false">BI45+LN(1+($G46+BI$7)*$AM46)</f>
        <v>0.264819889478055</v>
      </c>
      <c r="BJ46" s="5"/>
      <c r="BK46" s="62" t="n">
        <f aca="false">C46</f>
        <v>49536</v>
      </c>
      <c r="BL46" s="67" t="n">
        <f aca="false">AI46</f>
        <v>2260517.01440154</v>
      </c>
    </row>
    <row r="47" customFormat="false" ht="15" hidden="false" customHeight="true" outlineLevel="0" collapsed="false">
      <c r="A47" s="3" t="n">
        <v>37</v>
      </c>
      <c r="B47" s="38" t="n">
        <f aca="false">EDATE(Inputs!$C$8,3*(A47-1))</f>
        <v>49628</v>
      </c>
      <c r="C47" s="38" t="n">
        <f aca="false">WORKDAY(B47-1,1)</f>
        <v>49628</v>
      </c>
      <c r="D47" s="61" t="b">
        <f aca="false">C47&lt;=Inputs!$C$9</f>
        <v>1</v>
      </c>
      <c r="E47" s="61" t="b">
        <f aca="false">AND(D47,NOT(D48))</f>
        <v>0</v>
      </c>
      <c r="F47" s="63" t="n">
        <f aca="false">(C47-C46)/360</f>
        <v>0.255555555555556</v>
      </c>
      <c r="G47" s="57" t="n">
        <f aca="false">Curve!D40</f>
        <v>0.02252</v>
      </c>
      <c r="H47" s="64" t="n">
        <f aca="false">AF46</f>
        <v>19326220.445625</v>
      </c>
      <c r="I47" s="64" t="n">
        <f aca="false">IF(D47,H47*Inputs!$G$22,0)</f>
        <v>4833.36800220182</v>
      </c>
      <c r="J47" s="32" t="n">
        <f aca="false">MAX(Inputs!$G$24-(A47-1),1)</f>
        <v>9.59177046761108</v>
      </c>
      <c r="K47" s="64" t="n">
        <f aca="false">IF(D47,MIN(H47-I47,IF(J47&gt;1,(H47-I47)*Inputs!$G$23/((1+Inputs!$G$23)^J47-1),H47-I47)),0)</f>
        <v>1946663.66011971</v>
      </c>
      <c r="L47" s="64" t="n">
        <f aca="false">IF(D47,(H47-I47-K47)*Inputs!$G$21,0)</f>
        <v>187175.012352849</v>
      </c>
      <c r="M47" s="64" t="n">
        <f aca="false">IF(A47&gt;Inputs!$G$13,(1-Inputs!$G$12)*INDEX($I$11:$I$190,A47-Inputs!$G$13),0)</f>
        <v>7512.19825914589</v>
      </c>
      <c r="N47" s="64" t="n">
        <f aca="false">IF(D47,(H47-I47)*Inputs!$G$23,0)</f>
        <v>153315.206460937</v>
      </c>
      <c r="O47" s="64" t="n">
        <f aca="false">AG46</f>
        <v>12976676.7670717</v>
      </c>
      <c r="P47" s="64" t="n">
        <f aca="false">AH46</f>
        <v>6581390.33819556</v>
      </c>
      <c r="Q47" s="64" t="n">
        <f aca="false">IF(AND(D47,O47+P47&gt;0),Inputs!$C$25+Inputs!$C$26*H47/4,0)</f>
        <v>104831.555111406</v>
      </c>
      <c r="R47" s="64" t="n">
        <f aca="false">O47*IF(Inputs!$G$19="",G47+Inputs!$C$13,MAX(Inputs!$G$19,G47+Inputs!$C$13))*F47</f>
        <v>83304.497432704</v>
      </c>
      <c r="S47" s="64" t="n">
        <f aca="false">P47*(G47+Inputs!$C$14)*F47</f>
        <v>49755.3109567584</v>
      </c>
      <c r="T47" s="64" t="n">
        <f aca="false">N47+M47-Q47-R47-S47</f>
        <v>-77063.9587807858</v>
      </c>
      <c r="U47" s="64" t="n">
        <f aca="false">W46</f>
        <v>235285.099642224</v>
      </c>
      <c r="V47" s="64" t="n">
        <f aca="false">MIN(U47+I47,MAX(T47,0))</f>
        <v>0</v>
      </c>
      <c r="W47" s="64" t="n">
        <f aca="false">U47+I47-V47</f>
        <v>240118.467644426</v>
      </c>
      <c r="X47" s="64" t="n">
        <f aca="false">K47+L47+V47+IF(E47,H47-I47-K47-L47,0)</f>
        <v>2133838.67247256</v>
      </c>
      <c r="Y47" s="61" t="b">
        <f aca="false">AND(Inputs!$C$21=1,O47/Inputs!$C$10&lt;=Inputs!$C$22,Inputs!$G$14&lt;Inputs!$C$23,W47&lt;1)</f>
        <v>0</v>
      </c>
      <c r="Z47" s="61" t="b">
        <f aca="false">OR(AND(Inputs!$G$15=1,H47/Inputs!$C$17&lt;=Inputs!$C$24),AND(Inputs!$G$15=2,C47&gt;=Inputs!$G$16))</f>
        <v>0</v>
      </c>
      <c r="AA47" s="61" t="b">
        <f aca="false">OR(AA46,Z47)</f>
        <v>0</v>
      </c>
      <c r="AB47" s="61" t="b">
        <f aca="false">AND(Z47,NOT(AA46),D47,O47&gt;0)</f>
        <v>0</v>
      </c>
      <c r="AC47" s="63" t="n">
        <f aca="false">IF(AND(Y47,NOT(E47),O47+P47&gt;0),O47/(O47+P47),1)</f>
        <v>1</v>
      </c>
      <c r="AD47" s="64" t="n">
        <f aca="false">IF(AB47,O47,IF(D47,MIN(O47,IF(E47,AC47*X47+BF46,BE47*Inputs!$G$20)),0))</f>
        <v>2133838.67247256</v>
      </c>
      <c r="AE47" s="64" t="n">
        <f aca="false">IF(AB47,P47,IF(D47,MAX(MIN(P47,X47-MIN(O47,AC47*X47)),0),0))</f>
        <v>0</v>
      </c>
      <c r="AF47" s="64" t="n">
        <f aca="false">IF(OR(AB47,E47),0,MAX(H47-I47-K47-L47,0))</f>
        <v>17187548.4051502</v>
      </c>
      <c r="AG47" s="64" t="n">
        <f aca="false">IF(E47,0,O47-AD47)</f>
        <v>10842838.0945992</v>
      </c>
      <c r="AH47" s="64" t="n">
        <f aca="false">IF(OR(AB47,E47),0,P47-AE47)</f>
        <v>6581390.33819556</v>
      </c>
      <c r="AI47" s="64" t="n">
        <f aca="false">IF(D47,R47+AD47,0)</f>
        <v>2217143.16990527</v>
      </c>
      <c r="AJ47" s="65" t="n">
        <f aca="false">(C47-Inputs!$G$6)/365</f>
        <v>9.14794520547945</v>
      </c>
      <c r="AK47" s="29" t="n">
        <f aca="false">AG47/Inputs!$C$10</f>
        <v>0.00766955833393398</v>
      </c>
      <c r="AL47" s="5"/>
      <c r="AM47" s="66" t="n">
        <f aca="false">F47</f>
        <v>0.255555555555556</v>
      </c>
      <c r="AN47" s="5"/>
      <c r="AO47" s="5" t="n">
        <f aca="false">AO46+LN(1+($G47+AO$7)*$AM47)</f>
        <v>0.232253910834289</v>
      </c>
      <c r="AP47" s="5" t="n">
        <f aca="false">AP46+LN(1+($G47+AP$7)*$AM47)</f>
        <v>0.233175566940217</v>
      </c>
      <c r="AQ47" s="5" t="n">
        <f aca="false">AQ46+LN(1+($G47+AQ$7)*$AM47)</f>
        <v>0.262780367969258</v>
      </c>
      <c r="AR47" s="5" t="n">
        <f aca="false">AR46+LN(1+($G47+AR$7)*$AM47)</f>
        <v>0.263701260262506</v>
      </c>
      <c r="AS47" s="5" t="n">
        <f aca="false">AS46+LN(1+($G47+AS$7)*$AM47)</f>
        <v>0.263115112648114</v>
      </c>
      <c r="AT47" s="5" t="n">
        <f aca="false">AT46+LN(1+($G47+AT$7)*$AM47)</f>
        <v>0.264035996569132</v>
      </c>
      <c r="AU47" s="5" t="n">
        <f aca="false">AU46+LN(1+($G47+AU$7)*$AM47)</f>
        <v>0.26311504117694</v>
      </c>
      <c r="AV47" s="5" t="n">
        <f aca="false">AV46+LN(1+($G47+AV$7)*$AM47)</f>
        <v>0.264035925099745</v>
      </c>
      <c r="AW47" s="5" t="n">
        <f aca="false">AW46+LN(1+($G47+AW$7)*$AM47)</f>
        <v>0.263115041200908</v>
      </c>
      <c r="AX47" s="5" t="n">
        <f aca="false">AX46+LN(1+($G47+AX$7)*$AM47)</f>
        <v>0.264035925123716</v>
      </c>
      <c r="AY47" s="5" t="n">
        <f aca="false">AY46+LN(1+($G47+AY$7)*$AM47)</f>
        <v>0.263115041200904</v>
      </c>
      <c r="AZ47" s="5" t="n">
        <f aca="false">AZ46+LN(1+($G47+AZ$7)*$AM47)</f>
        <v>0.264035925123708</v>
      </c>
      <c r="BA47" s="5" t="n">
        <f aca="false">BA46+LN(1+($G47+BA$7)*$AM47)</f>
        <v>0.263115041200904</v>
      </c>
      <c r="BB47" s="5" t="n">
        <f aca="false">BB46+LN(1+($G47+BB$7)*$AM47)</f>
        <v>0.264035925123708</v>
      </c>
      <c r="BC47" s="5" t="n">
        <f aca="false">BC46+LN(1+($G47+BC$7)*$AM47)</f>
        <v>0.263115041200904</v>
      </c>
      <c r="BD47" s="5" t="n">
        <f aca="false">BD46+LN(1+($G47+BD$7)*$AM47)</f>
        <v>0.264035925123708</v>
      </c>
      <c r="BE47" s="5" t="n">
        <f aca="false">IF(AB47,O47,IF(D47,MIN(O47,AC47*X47+BF46),0))</f>
        <v>2133838.67247256</v>
      </c>
      <c r="BF47" s="5" t="n">
        <f aca="false">IF(OR(AB47,E47),0,BE47-AD47)</f>
        <v>0</v>
      </c>
      <c r="BG47" s="5" t="n">
        <f aca="false">BG46+LN(1+($G47+BG$7)*$AM47)</f>
        <v>0.253904934978567</v>
      </c>
      <c r="BH47" s="5"/>
      <c r="BI47" s="5" t="n">
        <f aca="false">BI46+LN(1+($G47+BI$7)*$AM47)</f>
        <v>0.272322844143955</v>
      </c>
      <c r="BJ47" s="5"/>
      <c r="BK47" s="62" t="n">
        <f aca="false">C47</f>
        <v>49628</v>
      </c>
      <c r="BL47" s="67" t="n">
        <f aca="false">AI47</f>
        <v>2217143.16990527</v>
      </c>
    </row>
    <row r="48" customFormat="false" ht="15" hidden="false" customHeight="true" outlineLevel="0" collapsed="false">
      <c r="A48" s="3" t="n">
        <v>38</v>
      </c>
      <c r="B48" s="38" t="n">
        <f aca="false">EDATE(Inputs!$C$8,3*(A48-1))</f>
        <v>49720</v>
      </c>
      <c r="C48" s="38" t="n">
        <f aca="false">WORKDAY(B48-1,1)</f>
        <v>49720</v>
      </c>
      <c r="D48" s="61" t="b">
        <f aca="false">C48&lt;=Inputs!$C$9</f>
        <v>1</v>
      </c>
      <c r="E48" s="61" t="b">
        <f aca="false">AND(D48,NOT(D49))</f>
        <v>0</v>
      </c>
      <c r="F48" s="63" t="n">
        <f aca="false">(C48-C47)/360</f>
        <v>0.255555555555556</v>
      </c>
      <c r="G48" s="57" t="n">
        <f aca="false">Curve!D41</f>
        <v>0.02252</v>
      </c>
      <c r="H48" s="64" t="n">
        <f aca="false">AF47</f>
        <v>17187548.4051502</v>
      </c>
      <c r="I48" s="64" t="n">
        <f aca="false">IF(D48,H48*Inputs!$G$22,0)</f>
        <v>4298.49937454035</v>
      </c>
      <c r="J48" s="32" t="n">
        <f aca="false">MAX(Inputs!$G$24-(A48-1),1)</f>
        <v>8.59177046761108</v>
      </c>
      <c r="K48" s="64" t="n">
        <f aca="false">IF(D48,MIN(H48-I48,IF(J48&gt;1,(H48-I48)*Inputs!$G$23/((1+Inputs!$G$23)^J48-1),H48-I48)),0)</f>
        <v>1940487.520801</v>
      </c>
      <c r="L48" s="64" t="n">
        <f aca="false">IF(D48,(H48-I48-K48)*Inputs!$G$21,0)</f>
        <v>164207.749910139</v>
      </c>
      <c r="M48" s="64" t="n">
        <f aca="false">IF(A48&gt;Inputs!$G$13,(1-Inputs!$G$12)*INDEX($I$11:$I$190,A48-Inputs!$G$13),0)</f>
        <v>7034.2089118042</v>
      </c>
      <c r="N48" s="64" t="n">
        <f aca="false">IF(D48,(H48-I48)*Inputs!$G$23,0)</f>
        <v>136349.08800233</v>
      </c>
      <c r="O48" s="64" t="n">
        <f aca="false">AG47</f>
        <v>10842838.0945992</v>
      </c>
      <c r="P48" s="64" t="n">
        <f aca="false">AH47</f>
        <v>6581390.33819556</v>
      </c>
      <c r="Q48" s="64" t="n">
        <f aca="false">IF(AND(D48,O48+P48&gt;0),Inputs!$C$25+Inputs!$C$26*H48/4,0)</f>
        <v>104296.887101288</v>
      </c>
      <c r="R48" s="64" t="n">
        <f aca="false">O48*IF(Inputs!$G$19="",G48+Inputs!$C$13,MAX(Inputs!$G$19,G48+Inputs!$C$13))*F48</f>
        <v>69606.2015281735</v>
      </c>
      <c r="S48" s="64" t="n">
        <f aca="false">P48*(G48+Inputs!$C$14)*F48</f>
        <v>49755.3109567584</v>
      </c>
      <c r="T48" s="64" t="n">
        <f aca="false">N48+M48-Q48-R48-S48</f>
        <v>-80275.1026720851</v>
      </c>
      <c r="U48" s="64" t="n">
        <f aca="false">W47</f>
        <v>240118.467644426</v>
      </c>
      <c r="V48" s="64" t="n">
        <f aca="false">MIN(U48+I48,MAX(T48,0))</f>
        <v>0</v>
      </c>
      <c r="W48" s="64" t="n">
        <f aca="false">U48+I48-V48</f>
        <v>244416.967018966</v>
      </c>
      <c r="X48" s="64" t="n">
        <f aca="false">K48+L48+V48+IF(E48,H48-I48-K48-L48,0)</f>
        <v>2104695.27071114</v>
      </c>
      <c r="Y48" s="61" t="b">
        <f aca="false">AND(Inputs!$C$21=1,O48/Inputs!$C$10&lt;=Inputs!$C$22,Inputs!$G$14&lt;Inputs!$C$23,W48&lt;1)</f>
        <v>0</v>
      </c>
      <c r="Z48" s="61" t="b">
        <f aca="false">OR(AND(Inputs!$G$15=1,H48/Inputs!$C$17&lt;=Inputs!$C$24),AND(Inputs!$G$15=2,C48&gt;=Inputs!$G$16))</f>
        <v>0</v>
      </c>
      <c r="AA48" s="61" t="b">
        <f aca="false">OR(AA47,Z48)</f>
        <v>0</v>
      </c>
      <c r="AB48" s="61" t="b">
        <f aca="false">AND(Z48,NOT(AA47),D48,O48&gt;0)</f>
        <v>0</v>
      </c>
      <c r="AC48" s="63" t="n">
        <f aca="false">IF(AND(Y48,NOT(E48),O48+P48&gt;0),O48/(O48+P48),1)</f>
        <v>1</v>
      </c>
      <c r="AD48" s="64" t="n">
        <f aca="false">IF(AB48,O48,IF(D48,MIN(O48,IF(E48,AC48*X48+BF47,BE48*Inputs!$G$20)),0))</f>
        <v>2104695.27071114</v>
      </c>
      <c r="AE48" s="64" t="n">
        <f aca="false">IF(AB48,P48,IF(D48,MAX(MIN(P48,X48-MIN(O48,AC48*X48)),0),0))</f>
        <v>0</v>
      </c>
      <c r="AF48" s="64" t="n">
        <f aca="false">IF(OR(AB48,E48),0,MAX(H48-I48-K48-L48,0))</f>
        <v>15078554.6350646</v>
      </c>
      <c r="AG48" s="64" t="n">
        <f aca="false">IF(E48,0,O48-AD48)</f>
        <v>8738142.82388802</v>
      </c>
      <c r="AH48" s="64" t="n">
        <f aca="false">IF(OR(AB48,E48),0,P48-AE48)</f>
        <v>6581390.33819556</v>
      </c>
      <c r="AI48" s="64" t="n">
        <f aca="false">IF(D48,R48+AD48,0)</f>
        <v>2174301.47223931</v>
      </c>
      <c r="AJ48" s="65" t="n">
        <f aca="false">(C48-Inputs!$G$6)/365</f>
        <v>9.4</v>
      </c>
      <c r="AK48" s="29" t="n">
        <f aca="false">AG48/Inputs!$C$10</f>
        <v>0.00618082604695881</v>
      </c>
      <c r="AL48" s="5"/>
      <c r="AM48" s="66" t="n">
        <f aca="false">F48</f>
        <v>0.255555555555556</v>
      </c>
      <c r="AN48" s="5"/>
      <c r="AO48" s="5" t="n">
        <f aca="false">AO47+LN(1+($G48+AO$7)*$AM48)</f>
        <v>0.238652948805447</v>
      </c>
      <c r="AP48" s="5" t="n">
        <f aca="false">AP47+LN(1+($G48+AP$7)*$AM48)</f>
        <v>0.239599997135681</v>
      </c>
      <c r="AQ48" s="5" t="n">
        <f aca="false">AQ47+LN(1+($G48+AQ$7)*$AM48)</f>
        <v>0.270020424796738</v>
      </c>
      <c r="AR48" s="5" t="n">
        <f aca="false">AR47+LN(1+($G48+AR$7)*$AM48)</f>
        <v>0.270966687968202</v>
      </c>
      <c r="AS48" s="5" t="n">
        <f aca="false">AS47+LN(1+($G48+AS$7)*$AM48)</f>
        <v>0.27036439179998</v>
      </c>
      <c r="AT48" s="5" t="n">
        <f aca="false">AT47+LN(1+($G48+AT$7)*$AM48)</f>
        <v>0.271310646365239</v>
      </c>
      <c r="AU48" s="5" t="n">
        <f aca="false">AU47+LN(1+($G48+AU$7)*$AM48)</f>
        <v>0.270364318359752</v>
      </c>
      <c r="AV48" s="5" t="n">
        <f aca="false">AV47+LN(1+($G48+AV$7)*$AM48)</f>
        <v>0.271310572926848</v>
      </c>
      <c r="AW48" s="5" t="n">
        <f aca="false">AW47+LN(1+($G48+AW$7)*$AM48)</f>
        <v>0.270364318384381</v>
      </c>
      <c r="AX48" s="5" t="n">
        <f aca="false">AX47+LN(1+($G48+AX$7)*$AM48)</f>
        <v>0.27131057295148</v>
      </c>
      <c r="AY48" s="5" t="n">
        <f aca="false">AY47+LN(1+($G48+AY$7)*$AM48)</f>
        <v>0.270364318384377</v>
      </c>
      <c r="AZ48" s="5" t="n">
        <f aca="false">AZ47+LN(1+($G48+AZ$7)*$AM48)</f>
        <v>0.271310572951471</v>
      </c>
      <c r="BA48" s="5" t="n">
        <f aca="false">BA47+LN(1+($G48+BA$7)*$AM48)</f>
        <v>0.270364318384377</v>
      </c>
      <c r="BB48" s="5" t="n">
        <f aca="false">BB47+LN(1+($G48+BB$7)*$AM48)</f>
        <v>0.271310572951471</v>
      </c>
      <c r="BC48" s="5" t="n">
        <f aca="false">BC47+LN(1+($G48+BC$7)*$AM48)</f>
        <v>0.270364318384377</v>
      </c>
      <c r="BD48" s="5" t="n">
        <f aca="false">BD47+LN(1+($G48+BD$7)*$AM48)</f>
        <v>0.271310572951471</v>
      </c>
      <c r="BE48" s="5" t="n">
        <f aca="false">IF(AB48,O48,IF(D48,MIN(O48,AC48*X48+BF47),0))</f>
        <v>2104695.27071114</v>
      </c>
      <c r="BF48" s="5" t="n">
        <f aca="false">IF(OR(AB48,E48),0,BE48-AD48)</f>
        <v>0</v>
      </c>
      <c r="BG48" s="5" t="n">
        <f aca="false">BG47+LN(1+($G48+BG$7)*$AM48)</f>
        <v>0.260900470311017</v>
      </c>
      <c r="BH48" s="5"/>
      <c r="BI48" s="5" t="n">
        <f aca="false">BI47+LN(1+($G48+BI$7)*$AM48)</f>
        <v>0.279825798809855</v>
      </c>
      <c r="BJ48" s="5"/>
      <c r="BK48" s="62" t="n">
        <f aca="false">C48</f>
        <v>49720</v>
      </c>
      <c r="BL48" s="67" t="n">
        <f aca="false">AI48</f>
        <v>2174301.47223931</v>
      </c>
    </row>
    <row r="49" customFormat="false" ht="15" hidden="false" customHeight="true" outlineLevel="0" collapsed="false">
      <c r="A49" s="3" t="n">
        <v>39</v>
      </c>
      <c r="B49" s="38" t="n">
        <f aca="false">EDATE(Inputs!$C$8,3*(A49-1))</f>
        <v>49810</v>
      </c>
      <c r="C49" s="38" t="n">
        <f aca="false">WORKDAY(B49-1,1)</f>
        <v>49810</v>
      </c>
      <c r="D49" s="61" t="b">
        <f aca="false">C49&lt;=Inputs!$C$9</f>
        <v>1</v>
      </c>
      <c r="E49" s="61" t="b">
        <f aca="false">AND(D49,NOT(D50))</f>
        <v>0</v>
      </c>
      <c r="F49" s="63" t="n">
        <f aca="false">(C49-C48)/360</f>
        <v>0.25</v>
      </c>
      <c r="G49" s="57" t="n">
        <f aca="false">Curve!D42</f>
        <v>0.02252</v>
      </c>
      <c r="H49" s="64" t="n">
        <f aca="false">AF48</f>
        <v>15078554.6350646</v>
      </c>
      <c r="I49" s="64" t="n">
        <f aca="false">IF(D49,H49*Inputs!$G$22,0)</f>
        <v>3771.05309843815</v>
      </c>
      <c r="J49" s="32" t="n">
        <f aca="false">MAX(Inputs!$G$24-(A49-1),1)</f>
        <v>7.59177046761108</v>
      </c>
      <c r="K49" s="64" t="n">
        <f aca="false">IF(D49,MIN(H49-I49,IF(J49&gt;1,(H49-I49)*Inputs!$G$23/((1+Inputs!$G$23)^J49-1),H49-I49)),0)</f>
        <v>1934330.97639109</v>
      </c>
      <c r="L49" s="64" t="n">
        <f aca="false">IF(D49,(H49-I49-K49)*Inputs!$G$21,0)</f>
        <v>141559.915497291</v>
      </c>
      <c r="M49" s="64" t="n">
        <f aca="false">IF(A49&gt;Inputs!$G$13,(1-Inputs!$G$12)*INDEX($I$11:$I$190,A49-Inputs!$G$13),0)</f>
        <v>6562.74097162574</v>
      </c>
      <c r="N49" s="64" t="n">
        <f aca="false">IF(D49,(H49-I49)*Inputs!$G$23,0)</f>
        <v>119618.407722901</v>
      </c>
      <c r="O49" s="64" t="n">
        <f aca="false">AG48</f>
        <v>8738142.82388802</v>
      </c>
      <c r="P49" s="64" t="n">
        <f aca="false">AH48</f>
        <v>6581390.33819556</v>
      </c>
      <c r="Q49" s="64" t="n">
        <f aca="false">IF(AND(D49,O49+P49&gt;0),Inputs!$C$25+Inputs!$C$26*H49/4,0)</f>
        <v>103769.638658766</v>
      </c>
      <c r="R49" s="64" t="n">
        <f aca="false">O49*IF(Inputs!$G$19="",G49+Inputs!$C$13,MAX(Inputs!$G$19,G49+Inputs!$C$13))*F49</f>
        <v>54875.5369340168</v>
      </c>
      <c r="S49" s="64" t="n">
        <f aca="false">P49*(G49+Inputs!$C$14)*F49</f>
        <v>48673.6737620463</v>
      </c>
      <c r="T49" s="64" t="n">
        <f aca="false">N49+M49-Q49-R49-S49</f>
        <v>-81137.7006603023</v>
      </c>
      <c r="U49" s="64" t="n">
        <f aca="false">W48</f>
        <v>244416.967018966</v>
      </c>
      <c r="V49" s="64" t="n">
        <f aca="false">MIN(U49+I49,MAX(T49,0))</f>
        <v>0</v>
      </c>
      <c r="W49" s="64" t="n">
        <f aca="false">U49+I49-V49</f>
        <v>248188.020117404</v>
      </c>
      <c r="X49" s="64" t="n">
        <f aca="false">K49+L49+V49+IF(E49,H49-I49-K49-L49,0)</f>
        <v>2075890.89188838</v>
      </c>
      <c r="Y49" s="61" t="b">
        <f aca="false">AND(Inputs!$C$21=1,O49/Inputs!$C$10&lt;=Inputs!$C$22,Inputs!$G$14&lt;Inputs!$C$23,W49&lt;1)</f>
        <v>0</v>
      </c>
      <c r="Z49" s="61" t="b">
        <f aca="false">OR(AND(Inputs!$G$15=1,H49/Inputs!$C$17&lt;=Inputs!$C$24),AND(Inputs!$G$15=2,C49&gt;=Inputs!$G$16))</f>
        <v>0</v>
      </c>
      <c r="AA49" s="61" t="b">
        <f aca="false">OR(AA48,Z49)</f>
        <v>0</v>
      </c>
      <c r="AB49" s="61" t="b">
        <f aca="false">AND(Z49,NOT(AA48),D49,O49&gt;0)</f>
        <v>0</v>
      </c>
      <c r="AC49" s="63" t="n">
        <f aca="false">IF(AND(Y49,NOT(E49),O49+P49&gt;0),O49/(O49+P49),1)</f>
        <v>1</v>
      </c>
      <c r="AD49" s="64" t="n">
        <f aca="false">IF(AB49,O49,IF(D49,MIN(O49,IF(E49,AC49*X49+BF48,BE49*Inputs!$G$20)),0))</f>
        <v>2075890.89188838</v>
      </c>
      <c r="AE49" s="64" t="n">
        <f aca="false">IF(AB49,P49,IF(D49,MAX(MIN(P49,X49-MIN(O49,AC49*X49)),0),0))</f>
        <v>0</v>
      </c>
      <c r="AF49" s="64" t="n">
        <f aca="false">IF(OR(AB49,E49),0,MAX(H49-I49-K49-L49,0))</f>
        <v>12998892.6900778</v>
      </c>
      <c r="AG49" s="64" t="n">
        <f aca="false">IF(E49,0,O49-AD49)</f>
        <v>6662251.93199964</v>
      </c>
      <c r="AH49" s="64" t="n">
        <f aca="false">IF(OR(AB49,E49),0,P49-AE49)</f>
        <v>6581390.33819556</v>
      </c>
      <c r="AI49" s="64" t="n">
        <f aca="false">IF(D49,R49+AD49,0)</f>
        <v>2130766.4288224</v>
      </c>
      <c r="AJ49" s="65" t="n">
        <f aca="false">(C49-Inputs!$G$6)/365</f>
        <v>9.64657534246575</v>
      </c>
      <c r="AK49" s="29" t="n">
        <f aca="false">AG49/Inputs!$C$10</f>
        <v>0.00471246821007932</v>
      </c>
      <c r="AL49" s="5"/>
      <c r="AM49" s="66" t="n">
        <f aca="false">F49</f>
        <v>0.25</v>
      </c>
      <c r="AN49" s="5"/>
      <c r="AO49" s="5" t="n">
        <f aca="false">AO48+LN(1+($G49+AO$7)*$AM49)</f>
        <v>0.244913311776261</v>
      </c>
      <c r="AP49" s="5" t="n">
        <f aca="false">AP48+LN(1+($G49+AP$7)*$AM49)</f>
        <v>0.245885203777695</v>
      </c>
      <c r="AQ49" s="5" t="n">
        <f aca="false">AQ48+LN(1+($G49+AQ$7)*$AM49)</f>
        <v>0.277103645179205</v>
      </c>
      <c r="AR49" s="5" t="n">
        <f aca="false">AR48+LN(1+($G49+AR$7)*$AM49)</f>
        <v>0.278074731587732</v>
      </c>
      <c r="AS49" s="5" t="n">
        <f aca="false">AS48+LN(1+($G49+AS$7)*$AM49)</f>
        <v>0.277456635437482</v>
      </c>
      <c r="AT49" s="5" t="n">
        <f aca="false">AT48+LN(1+($G49+AT$7)*$AM49)</f>
        <v>0.278427713015822</v>
      </c>
      <c r="AU49" s="5" t="n">
        <f aca="false">AU48+LN(1+($G49+AU$7)*$AM49)</f>
        <v>0.277456560070703</v>
      </c>
      <c r="AV49" s="5" t="n">
        <f aca="false">AV48+LN(1+($G49+AV$7)*$AM49)</f>
        <v>0.278427637650928</v>
      </c>
      <c r="AW49" s="5" t="n">
        <f aca="false">AW48+LN(1+($G49+AW$7)*$AM49)</f>
        <v>0.277456560095978</v>
      </c>
      <c r="AX49" s="5" t="n">
        <f aca="false">AX48+LN(1+($G49+AX$7)*$AM49)</f>
        <v>0.278427637676206</v>
      </c>
      <c r="AY49" s="5" t="n">
        <f aca="false">AY48+LN(1+($G49+AY$7)*$AM49)</f>
        <v>0.277456560095974</v>
      </c>
      <c r="AZ49" s="5" t="n">
        <f aca="false">AZ48+LN(1+($G49+AZ$7)*$AM49)</f>
        <v>0.278427637676197</v>
      </c>
      <c r="BA49" s="5" t="n">
        <f aca="false">BA48+LN(1+($G49+BA$7)*$AM49)</f>
        <v>0.277456560095974</v>
      </c>
      <c r="BB49" s="5" t="n">
        <f aca="false">BB48+LN(1+($G49+BB$7)*$AM49)</f>
        <v>0.278427637676197</v>
      </c>
      <c r="BC49" s="5" t="n">
        <f aca="false">BC48+LN(1+($G49+BC$7)*$AM49)</f>
        <v>0.277456560095974</v>
      </c>
      <c r="BD49" s="5" t="n">
        <f aca="false">BD48+LN(1+($G49+BD$7)*$AM49)</f>
        <v>0.278427637676197</v>
      </c>
      <c r="BE49" s="5" t="n">
        <f aca="false">IF(AB49,O49,IF(D49,MIN(O49,AC49*X49+BF48),0))</f>
        <v>2075890.89188838</v>
      </c>
      <c r="BF49" s="5" t="n">
        <f aca="false">IF(OR(AB49,E49),0,BE49-AD49)</f>
        <v>0</v>
      </c>
      <c r="BG49" s="5" t="n">
        <f aca="false">BG48+LN(1+($G49+BG$7)*$AM49)</f>
        <v>0.26774444799543</v>
      </c>
      <c r="BH49" s="5"/>
      <c r="BI49" s="5" t="n">
        <f aca="false">BI48+LN(1+($G49+BI$7)*$AM49)</f>
        <v>0.287166242928907</v>
      </c>
      <c r="BJ49" s="5"/>
      <c r="BK49" s="62" t="n">
        <f aca="false">C49</f>
        <v>49810</v>
      </c>
      <c r="BL49" s="67" t="n">
        <f aca="false">AI49</f>
        <v>2130766.4288224</v>
      </c>
    </row>
    <row r="50" customFormat="false" ht="15" hidden="false" customHeight="true" outlineLevel="0" collapsed="false">
      <c r="A50" s="3" t="n">
        <v>40</v>
      </c>
      <c r="B50" s="38" t="n">
        <f aca="false">EDATE(Inputs!$C$8,3*(A50-1))</f>
        <v>49902</v>
      </c>
      <c r="C50" s="38" t="n">
        <f aca="false">WORKDAY(B50-1,1)</f>
        <v>49902</v>
      </c>
      <c r="D50" s="61" t="b">
        <f aca="false">C50&lt;=Inputs!$C$9</f>
        <v>1</v>
      </c>
      <c r="E50" s="61" t="b">
        <f aca="false">AND(D50,NOT(D51))</f>
        <v>0</v>
      </c>
      <c r="F50" s="63" t="n">
        <f aca="false">(C50-C49)/360</f>
        <v>0.255555555555556</v>
      </c>
      <c r="G50" s="57" t="n">
        <f aca="false">Curve!D43</f>
        <v>0.02252</v>
      </c>
      <c r="H50" s="64" t="n">
        <f aca="false">AF49</f>
        <v>12998892.6900778</v>
      </c>
      <c r="I50" s="64" t="n">
        <f aca="false">IF(D50,H50*Inputs!$G$22,0)</f>
        <v>3250.94253007446</v>
      </c>
      <c r="J50" s="32" t="n">
        <f aca="false">MAX(Inputs!$G$24-(A50-1),1)</f>
        <v>6.59177046761108</v>
      </c>
      <c r="K50" s="64" t="n">
        <f aca="false">IF(D50,MIN(H50-I50,IF(J50&gt;1,(H50-I50)*Inputs!$G$23/((1+Inputs!$G$23)^J50-1),H50-I50)),0)</f>
        <v>1928193.96472162</v>
      </c>
      <c r="L50" s="64" t="n">
        <f aca="false">IF(D50,(H50-I50-K50)*Inputs!$G$21,0)</f>
        <v>119227.778519808</v>
      </c>
      <c r="M50" s="64" t="n">
        <f aca="false">IF(A50&gt;Inputs!$G$13,(1-Inputs!$G$12)*INDEX($I$11:$I$190,A50-Inputs!$G$13),0)</f>
        <v>6097.7185931069</v>
      </c>
      <c r="N50" s="64" t="n">
        <f aca="false">IF(D50,(H50-I50)*Inputs!$G$23,0)</f>
        <v>103120.417266791</v>
      </c>
      <c r="O50" s="64" t="n">
        <f aca="false">AG49</f>
        <v>6662251.93199964</v>
      </c>
      <c r="P50" s="64" t="n">
        <f aca="false">AH49</f>
        <v>6581390.33819556</v>
      </c>
      <c r="Q50" s="64" t="n">
        <f aca="false">IF(AND(D50,O50+P50&gt;0),Inputs!$C$25+Inputs!$C$26*H50/4,0)</f>
        <v>103249.723172519</v>
      </c>
      <c r="R50" s="64" t="n">
        <f aca="false">O50*IF(Inputs!$G$19="",G50+Inputs!$C$13,MAX(Inputs!$G$19,G50+Inputs!$C$13))*F50</f>
        <v>42768.696402579</v>
      </c>
      <c r="S50" s="64" t="n">
        <f aca="false">P50*(G50+Inputs!$C$14)*F50</f>
        <v>49755.3109567584</v>
      </c>
      <c r="T50" s="64" t="n">
        <f aca="false">N50+M50-Q50-R50-S50</f>
        <v>-86555.5946719592</v>
      </c>
      <c r="U50" s="64" t="n">
        <f aca="false">W49</f>
        <v>248188.020117404</v>
      </c>
      <c r="V50" s="64" t="n">
        <f aca="false">MIN(U50+I50,MAX(T50,0))</f>
        <v>0</v>
      </c>
      <c r="W50" s="64" t="n">
        <f aca="false">U50+I50-V50</f>
        <v>251438.962647479</v>
      </c>
      <c r="X50" s="64" t="n">
        <f aca="false">K50+L50+V50+IF(E50,H50-I50-K50-L50,0)</f>
        <v>2047421.74324143</v>
      </c>
      <c r="Y50" s="61" t="b">
        <f aca="false">AND(Inputs!$C$21=1,O50/Inputs!$C$10&lt;=Inputs!$C$22,Inputs!$G$14&lt;Inputs!$C$23,W50&lt;1)</f>
        <v>0</v>
      </c>
      <c r="Z50" s="61" t="b">
        <f aca="false">OR(AND(Inputs!$G$15=1,H50/Inputs!$C$17&lt;=Inputs!$C$24),AND(Inputs!$G$15=2,C50&gt;=Inputs!$G$16))</f>
        <v>0</v>
      </c>
      <c r="AA50" s="61" t="b">
        <f aca="false">OR(AA49,Z50)</f>
        <v>0</v>
      </c>
      <c r="AB50" s="61" t="b">
        <f aca="false">AND(Z50,NOT(AA49),D50,O50&gt;0)</f>
        <v>0</v>
      </c>
      <c r="AC50" s="63" t="n">
        <f aca="false">IF(AND(Y50,NOT(E50),O50+P50&gt;0),O50/(O50+P50),1)</f>
        <v>1</v>
      </c>
      <c r="AD50" s="64" t="n">
        <f aca="false">IF(AB50,O50,IF(D50,MIN(O50,IF(E50,AC50*X50+BF49,BE50*Inputs!$G$20)),0))</f>
        <v>2047421.74324143</v>
      </c>
      <c r="AE50" s="64" t="n">
        <f aca="false">IF(AB50,P50,IF(D50,MAX(MIN(P50,X50-MIN(O50,AC50*X50)),0),0))</f>
        <v>0</v>
      </c>
      <c r="AF50" s="64" t="n">
        <f aca="false">IF(OR(AB50,E50),0,MAX(H50-I50-K50-L50,0))</f>
        <v>10948220.0043062</v>
      </c>
      <c r="AG50" s="64" t="n">
        <f aca="false">IF(E50,0,O50-AD50)</f>
        <v>4614830.18875822</v>
      </c>
      <c r="AH50" s="64" t="n">
        <f aca="false">IF(OR(AB50,E50),0,P50-AE50)</f>
        <v>6581390.33819556</v>
      </c>
      <c r="AI50" s="64" t="n">
        <f aca="false">IF(D50,R50+AD50,0)</f>
        <v>2090190.43964401</v>
      </c>
      <c r="AJ50" s="65" t="n">
        <f aca="false">(C50-Inputs!$G$6)/365</f>
        <v>9.8986301369863</v>
      </c>
      <c r="AK50" s="29" t="n">
        <f aca="false">AG50/Inputs!$C$10</f>
        <v>0.00326424770203941</v>
      </c>
      <c r="AL50" s="5"/>
      <c r="AM50" s="66" t="n">
        <f aca="false">F50</f>
        <v>0.255555555555556</v>
      </c>
      <c r="AN50" s="5"/>
      <c r="AO50" s="5" t="n">
        <f aca="false">AO49+LN(1+($G50+AO$7)*$AM50)</f>
        <v>0.251312349747418</v>
      </c>
      <c r="AP50" s="5" t="n">
        <f aca="false">AP49+LN(1+($G50+AP$7)*$AM50)</f>
        <v>0.252309633973159</v>
      </c>
      <c r="AQ50" s="5" t="n">
        <f aca="false">AQ49+LN(1+($G50+AQ$7)*$AM50)</f>
        <v>0.284343702006686</v>
      </c>
      <c r="AR50" s="5" t="n">
        <f aca="false">AR49+LN(1+($G50+AR$7)*$AM50)</f>
        <v>0.285340159293428</v>
      </c>
      <c r="AS50" s="5" t="n">
        <f aca="false">AS49+LN(1+($G50+AS$7)*$AM50)</f>
        <v>0.284705914589348</v>
      </c>
      <c r="AT50" s="5" t="n">
        <f aca="false">AT49+LN(1+($G50+AT$7)*$AM50)</f>
        <v>0.285702362811929</v>
      </c>
      <c r="AU50" s="5" t="n">
        <f aca="false">AU49+LN(1+($G50+AU$7)*$AM50)</f>
        <v>0.284705837253515</v>
      </c>
      <c r="AV50" s="5" t="n">
        <f aca="false">AV49+LN(1+($G50+AV$7)*$AM50)</f>
        <v>0.285702285478031</v>
      </c>
      <c r="AW50" s="5" t="n">
        <f aca="false">AW49+LN(1+($G50+AW$7)*$AM50)</f>
        <v>0.284705837279451</v>
      </c>
      <c r="AX50" s="5" t="n">
        <f aca="false">AX49+LN(1+($G50+AX$7)*$AM50)</f>
        <v>0.285702285503969</v>
      </c>
      <c r="AY50" s="5" t="n">
        <f aca="false">AY49+LN(1+($G50+AY$7)*$AM50)</f>
        <v>0.284705837279447</v>
      </c>
      <c r="AZ50" s="5" t="n">
        <f aca="false">AZ49+LN(1+($G50+AZ$7)*$AM50)</f>
        <v>0.28570228550396</v>
      </c>
      <c r="BA50" s="5" t="n">
        <f aca="false">BA49+LN(1+($G50+BA$7)*$AM50)</f>
        <v>0.284705837279447</v>
      </c>
      <c r="BB50" s="5" t="n">
        <f aca="false">BB49+LN(1+($G50+BB$7)*$AM50)</f>
        <v>0.28570228550396</v>
      </c>
      <c r="BC50" s="5" t="n">
        <f aca="false">BC49+LN(1+($G50+BC$7)*$AM50)</f>
        <v>0.284705837279447</v>
      </c>
      <c r="BD50" s="5" t="n">
        <f aca="false">BD49+LN(1+($G50+BD$7)*$AM50)</f>
        <v>0.28570228550396</v>
      </c>
      <c r="BE50" s="5" t="n">
        <f aca="false">IF(AB50,O50,IF(D50,MIN(O50,AC50*X50+BF49),0))</f>
        <v>2047421.74324143</v>
      </c>
      <c r="BF50" s="5" t="n">
        <f aca="false">IF(OR(AB50,E50),0,BE50-AD50)</f>
        <v>0</v>
      </c>
      <c r="BG50" s="5" t="n">
        <f aca="false">BG49+LN(1+($G50+BG$7)*$AM50)</f>
        <v>0.274739983327881</v>
      </c>
      <c r="BH50" s="5"/>
      <c r="BI50" s="5" t="n">
        <f aca="false">BI49+LN(1+($G50+BI$7)*$AM50)</f>
        <v>0.294669197594807</v>
      </c>
      <c r="BJ50" s="5"/>
      <c r="BK50" s="62" t="n">
        <f aca="false">C50</f>
        <v>49902</v>
      </c>
      <c r="BL50" s="67" t="n">
        <f aca="false">AI50</f>
        <v>2090190.43964401</v>
      </c>
    </row>
    <row r="51" customFormat="false" ht="15" hidden="false" customHeight="true" outlineLevel="0" collapsed="false">
      <c r="A51" s="3" t="n">
        <v>41</v>
      </c>
      <c r="B51" s="38" t="n">
        <f aca="false">EDATE(Inputs!$C$8,3*(A51-1))</f>
        <v>49994</v>
      </c>
      <c r="C51" s="38" t="n">
        <f aca="false">WORKDAY(B51-1,1)</f>
        <v>49996</v>
      </c>
      <c r="D51" s="61" t="b">
        <f aca="false">C51&lt;=Inputs!$C$9</f>
        <v>1</v>
      </c>
      <c r="E51" s="61" t="b">
        <f aca="false">AND(D51,NOT(D52))</f>
        <v>0</v>
      </c>
      <c r="F51" s="63" t="n">
        <f aca="false">(C51-C50)/360</f>
        <v>0.261111111111111</v>
      </c>
      <c r="G51" s="57" t="n">
        <f aca="false">Curve!D44</f>
        <v>0.02252</v>
      </c>
      <c r="H51" s="64" t="n">
        <f aca="false">AF50</f>
        <v>10948220.0043062</v>
      </c>
      <c r="I51" s="64" t="n">
        <f aca="false">IF(D51,H51*Inputs!$G$22,0)</f>
        <v>2738.08199584408</v>
      </c>
      <c r="J51" s="32" t="n">
        <f aca="false">MAX(Inputs!$G$24-(A51-1),1)</f>
        <v>5.59177046761108</v>
      </c>
      <c r="K51" s="64" t="n">
        <f aca="false">IF(D51,MIN(H51-I51,IF(J51&gt;1,(H51-I51)*Inputs!$G$23/((1+Inputs!$G$23)^J51-1),H51-I51)),0)</f>
        <v>1922076.42382147</v>
      </c>
      <c r="L51" s="64" t="n">
        <f aca="false">IF(D51,(H51-I51-K51)*Inputs!$G$21,0)</f>
        <v>97207.650162822</v>
      </c>
      <c r="M51" s="64" t="n">
        <f aca="false">IF(A51&gt;Inputs!$G$13,(1-Inputs!$G$12)*INDEX($I$11:$I$190,A51-Inputs!$G$13),0)</f>
        <v>5639.06677920035</v>
      </c>
      <c r="N51" s="64" t="n">
        <f aca="false">IF(D51,(H51-I51)*Inputs!$G$23,0)</f>
        <v>86852.399053533</v>
      </c>
      <c r="O51" s="64" t="n">
        <f aca="false">AG50</f>
        <v>4614830.18875822</v>
      </c>
      <c r="P51" s="64" t="n">
        <f aca="false">AH50</f>
        <v>6581390.33819556</v>
      </c>
      <c r="Q51" s="64" t="n">
        <f aca="false">IF(AND(D51,O51+P51&gt;0),Inputs!$C$25+Inputs!$C$26*H51/4,0)</f>
        <v>102737.055001077</v>
      </c>
      <c r="R51" s="64" t="n">
        <f aca="false">O51*IF(Inputs!$G$19="",G51+Inputs!$C$13,MAX(Inputs!$G$19,G51+Inputs!$C$13))*F51</f>
        <v>30269.183966975</v>
      </c>
      <c r="S51" s="64" t="n">
        <f aca="false">P51*(G51+Inputs!$C$14)*F51</f>
        <v>50836.9481514706</v>
      </c>
      <c r="T51" s="64" t="n">
        <f aca="false">N51+M51-Q51-R51-S51</f>
        <v>-91351.7212867887</v>
      </c>
      <c r="U51" s="64" t="n">
        <f aca="false">W50</f>
        <v>251438.962647479</v>
      </c>
      <c r="V51" s="64" t="n">
        <f aca="false">MIN(U51+I51,MAX(T51,0))</f>
        <v>0</v>
      </c>
      <c r="W51" s="64" t="n">
        <f aca="false">U51+I51-V51</f>
        <v>254177.044643323</v>
      </c>
      <c r="X51" s="64" t="n">
        <f aca="false">K51+L51+V51+IF(E51,H51-I51-K51-L51,0)</f>
        <v>2019284.07398429</v>
      </c>
      <c r="Y51" s="61" t="b">
        <f aca="false">AND(Inputs!$C$21=1,O51/Inputs!$C$10&lt;=Inputs!$C$22,Inputs!$G$14&lt;Inputs!$C$23,W51&lt;1)</f>
        <v>0</v>
      </c>
      <c r="Z51" s="61" t="b">
        <f aca="false">OR(AND(Inputs!$G$15=1,H51/Inputs!$C$17&lt;=Inputs!$C$24),AND(Inputs!$G$15=2,C51&gt;=Inputs!$G$16))</f>
        <v>0</v>
      </c>
      <c r="AA51" s="61" t="b">
        <f aca="false">OR(AA50,Z51)</f>
        <v>0</v>
      </c>
      <c r="AB51" s="61" t="b">
        <f aca="false">AND(Z51,NOT(AA50),D51,O51&gt;0)</f>
        <v>0</v>
      </c>
      <c r="AC51" s="63" t="n">
        <f aca="false">IF(AND(Y51,NOT(E51),O51+P51&gt;0),O51/(O51+P51),1)</f>
        <v>1</v>
      </c>
      <c r="AD51" s="64" t="n">
        <f aca="false">IF(AB51,O51,IF(D51,MIN(O51,IF(E51,AC51*X51+BF50,BE51*Inputs!$G$20)),0))</f>
        <v>2019284.07398429</v>
      </c>
      <c r="AE51" s="64" t="n">
        <f aca="false">IF(AB51,P51,IF(D51,MAX(MIN(P51,X51-MIN(O51,AC51*X51)),0),0))</f>
        <v>0</v>
      </c>
      <c r="AF51" s="64" t="n">
        <f aca="false">IF(OR(AB51,E51),0,MAX(H51-I51-K51-L51,0))</f>
        <v>8926197.84832612</v>
      </c>
      <c r="AG51" s="64" t="n">
        <f aca="false">IF(E51,0,O51-AD51)</f>
        <v>2595546.11477393</v>
      </c>
      <c r="AH51" s="64" t="n">
        <f aca="false">IF(OR(AB51,E51),0,P51-AE51)</f>
        <v>6581390.33819556</v>
      </c>
      <c r="AI51" s="64" t="n">
        <f aca="false">IF(D51,R51+AD51,0)</f>
        <v>2049553.25795126</v>
      </c>
      <c r="AJ51" s="65" t="n">
        <f aca="false">(C51-Inputs!$G$6)/365</f>
        <v>10.1561643835616</v>
      </c>
      <c r="AK51" s="29" t="n">
        <f aca="false">AG51/Inputs!$C$10</f>
        <v>0.00183593005465883</v>
      </c>
      <c r="AL51" s="5"/>
      <c r="AM51" s="66" t="n">
        <f aca="false">F51</f>
        <v>0.261111111111111</v>
      </c>
      <c r="AN51" s="5"/>
      <c r="AO51" s="5" t="n">
        <f aca="false">AO50+LN(1+($G51+AO$7)*$AM51)</f>
        <v>0.25785004349083</v>
      </c>
      <c r="AP51" s="5" t="n">
        <f aca="false">AP50+LN(1+($G51+AP$7)*$AM51)</f>
        <v>0.258873268341572</v>
      </c>
      <c r="AQ51" s="5" t="n">
        <f aca="false">AQ50+LN(1+($G51+AQ$7)*$AM51)</f>
        <v>0.291740570685367</v>
      </c>
      <c r="AR51" s="5" t="n">
        <f aca="false">AR50+LN(1+($G51+AR$7)*$AM51)</f>
        <v>0.292762946319436</v>
      </c>
      <c r="AS51" s="5" t="n">
        <f aca="false">AS50+LN(1+($G51+AS$7)*$AM51)</f>
        <v>0.292112204599298</v>
      </c>
      <c r="AT51" s="5" t="n">
        <f aca="false">AT50+LN(1+($G51+AT$7)*$AM51)</f>
        <v>0.293134570925025</v>
      </c>
      <c r="AU51" s="5" t="n">
        <f aca="false">AU50+LN(1+($G51+AU$7)*$AM51)</f>
        <v>0.292112125251921</v>
      </c>
      <c r="AV51" s="5" t="n">
        <f aca="false">AV50+LN(1+($G51+AV$7)*$AM51)</f>
        <v>0.293134491579635</v>
      </c>
      <c r="AW51" s="5" t="n">
        <f aca="false">AW50+LN(1+($G51+AW$7)*$AM51)</f>
        <v>0.292112125278532</v>
      </c>
      <c r="AX51" s="5" t="n">
        <f aca="false">AX50+LN(1+($G51+AX$7)*$AM51)</f>
        <v>0.293134491606248</v>
      </c>
      <c r="AY51" s="5" t="n">
        <f aca="false">AY50+LN(1+($G51+AY$7)*$AM51)</f>
        <v>0.292112125278527</v>
      </c>
      <c r="AZ51" s="5" t="n">
        <f aca="false">AZ50+LN(1+($G51+AZ$7)*$AM51)</f>
        <v>0.293134491606239</v>
      </c>
      <c r="BA51" s="5" t="n">
        <f aca="false">BA50+LN(1+($G51+BA$7)*$AM51)</f>
        <v>0.292112125278527</v>
      </c>
      <c r="BB51" s="5" t="n">
        <f aca="false">BB50+LN(1+($G51+BB$7)*$AM51)</f>
        <v>0.293134491606239</v>
      </c>
      <c r="BC51" s="5" t="n">
        <f aca="false">BC50+LN(1+($G51+BC$7)*$AM51)</f>
        <v>0.292112125278527</v>
      </c>
      <c r="BD51" s="5" t="n">
        <f aca="false">BD50+LN(1+($G51+BD$7)*$AM51)</f>
        <v>0.293134491606239</v>
      </c>
      <c r="BE51" s="5" t="n">
        <f aca="false">IF(AB51,O51,IF(D51,MIN(O51,AC51*X51+BF50),0))</f>
        <v>2019284.07398429</v>
      </c>
      <c r="BF51" s="5" t="n">
        <f aca="false">IF(OR(AB51,E51),0,BE51-AD51)</f>
        <v>0</v>
      </c>
      <c r="BG51" s="5" t="n">
        <f aca="false">BG50+LN(1+($G51+BG$7)*$AM51)</f>
        <v>0.281887053342129</v>
      </c>
      <c r="BH51" s="5"/>
      <c r="BI51" s="5" t="n">
        <f aca="false">BI50+LN(1+($G51+BI$7)*$AM51)</f>
        <v>0.302334636402168</v>
      </c>
      <c r="BJ51" s="5"/>
      <c r="BK51" s="62" t="n">
        <f aca="false">C51</f>
        <v>49996</v>
      </c>
      <c r="BL51" s="67" t="n">
        <f aca="false">AI51</f>
        <v>2049553.25795126</v>
      </c>
    </row>
    <row r="52" customFormat="false" ht="15" hidden="false" customHeight="true" outlineLevel="0" collapsed="false">
      <c r="A52" s="3" t="n">
        <v>42</v>
      </c>
      <c r="B52" s="38" t="n">
        <f aca="false">EDATE(Inputs!$C$8,3*(A52-1))</f>
        <v>50086</v>
      </c>
      <c r="C52" s="38" t="n">
        <f aca="false">WORKDAY(B52-1,1)</f>
        <v>50087</v>
      </c>
      <c r="D52" s="61" t="b">
        <f aca="false">C52&lt;=Inputs!$C$9</f>
        <v>1</v>
      </c>
      <c r="E52" s="61" t="b">
        <f aca="false">AND(D52,NOT(D53))</f>
        <v>0</v>
      </c>
      <c r="F52" s="63" t="n">
        <f aca="false">(C52-C51)/360</f>
        <v>0.252777777777778</v>
      </c>
      <c r="G52" s="57" t="n">
        <f aca="false">Curve!D45</f>
        <v>0.02252</v>
      </c>
      <c r="H52" s="64" t="n">
        <f aca="false">AF51</f>
        <v>8926197.84832612</v>
      </c>
      <c r="I52" s="64" t="n">
        <f aca="false">IF(D52,H52*Inputs!$G$22,0)</f>
        <v>2232.38678161662</v>
      </c>
      <c r="J52" s="32" t="n">
        <f aca="false">MAX(Inputs!$G$24-(A52-1),1)</f>
        <v>4.59177046761108</v>
      </c>
      <c r="K52" s="64" t="n">
        <f aca="false">IF(D52,MIN(H52-I52,IF(J52&gt;1,(H52-I52)*Inputs!$G$23/((1+Inputs!$G$23)^J52-1),H52-I52)),0)</f>
        <v>1915978.29191612</v>
      </c>
      <c r="L52" s="64" t="n">
        <f aca="false">IF(D52,(H52-I52-K52)*Inputs!$G$21,0)</f>
        <v>75495.8829285528</v>
      </c>
      <c r="M52" s="64" t="n">
        <f aca="false">IF(A52&gt;Inputs!$G$13,(1-Inputs!$G$12)*INDEX($I$11:$I$190,A52-Inputs!$G$13),0)</f>
        <v>5186.7113719249</v>
      </c>
      <c r="N52" s="64" t="n">
        <f aca="false">IF(D52,(H52-I52)*Inputs!$G$23,0)</f>
        <v>70811.6659373556</v>
      </c>
      <c r="O52" s="64" t="n">
        <f aca="false">AG51</f>
        <v>2595546.11477393</v>
      </c>
      <c r="P52" s="64" t="n">
        <f aca="false">AH51</f>
        <v>6581390.33819556</v>
      </c>
      <c r="Q52" s="64" t="n">
        <f aca="false">IF(AND(D52,O52+P52&gt;0),Inputs!$C$25+Inputs!$C$26*H52/4,0)</f>
        <v>102231.549462082</v>
      </c>
      <c r="R52" s="64" t="n">
        <f aca="false">O52*IF(Inputs!$G$19="",G52+Inputs!$C$13,MAX(Inputs!$G$19,G52+Inputs!$C$13))*F52</f>
        <v>16481.1410407889</v>
      </c>
      <c r="S52" s="64" t="n">
        <f aca="false">P52*(G52+Inputs!$C$14)*F52</f>
        <v>49214.4923594024</v>
      </c>
      <c r="T52" s="64" t="n">
        <f aca="false">N52+M52-Q52-R52-S52</f>
        <v>-91928.8055529923</v>
      </c>
      <c r="U52" s="64" t="n">
        <f aca="false">W51</f>
        <v>254177.044643323</v>
      </c>
      <c r="V52" s="64" t="n">
        <f aca="false">MIN(U52+I52,MAX(T52,0))</f>
        <v>0</v>
      </c>
      <c r="W52" s="64" t="n">
        <f aca="false">U52+I52-V52</f>
        <v>256409.431424939</v>
      </c>
      <c r="X52" s="64" t="n">
        <f aca="false">K52+L52+V52+IF(E52,H52-I52-K52-L52,0)</f>
        <v>1991474.17484468</v>
      </c>
      <c r="Y52" s="61" t="b">
        <f aca="false">AND(Inputs!$C$21=1,O52/Inputs!$C$10&lt;=Inputs!$C$22,Inputs!$G$14&lt;Inputs!$C$23,W52&lt;1)</f>
        <v>0</v>
      </c>
      <c r="Z52" s="61" t="b">
        <f aca="false">OR(AND(Inputs!$G$15=1,H52/Inputs!$C$17&lt;=Inputs!$C$24),AND(Inputs!$G$15=2,C52&gt;=Inputs!$G$16))</f>
        <v>0</v>
      </c>
      <c r="AA52" s="61" t="b">
        <f aca="false">OR(AA51,Z52)</f>
        <v>0</v>
      </c>
      <c r="AB52" s="61" t="b">
        <f aca="false">AND(Z52,NOT(AA51),D52,O52&gt;0)</f>
        <v>0</v>
      </c>
      <c r="AC52" s="63" t="n">
        <f aca="false">IF(AND(Y52,NOT(E52),O52+P52&gt;0),O52/(O52+P52),1)</f>
        <v>1</v>
      </c>
      <c r="AD52" s="64" t="n">
        <f aca="false">IF(AB52,O52,IF(D52,MIN(O52,IF(E52,AC52*X52+BF51,BE52*Inputs!$G$20)),0))</f>
        <v>1991474.17484468</v>
      </c>
      <c r="AE52" s="64" t="n">
        <f aca="false">IF(AB52,P52,IF(D52,MAX(MIN(P52,X52-MIN(O52,AC52*X52)),0),0))</f>
        <v>0</v>
      </c>
      <c r="AF52" s="64" t="n">
        <f aca="false">IF(OR(AB52,E52),0,MAX(H52-I52-K52-L52,0))</f>
        <v>6932491.28669982</v>
      </c>
      <c r="AG52" s="64" t="n">
        <f aca="false">IF(E52,0,O52-AD52)</f>
        <v>604071.939929251</v>
      </c>
      <c r="AH52" s="64" t="n">
        <f aca="false">IF(OR(AB52,E52),0,P52-AE52)</f>
        <v>6581390.33819556</v>
      </c>
      <c r="AI52" s="64" t="n">
        <f aca="false">IF(D52,R52+AD52,0)</f>
        <v>2007955.31588547</v>
      </c>
      <c r="AJ52" s="65" t="n">
        <f aca="false">(C52-Inputs!$G$6)/365</f>
        <v>10.4054794520548</v>
      </c>
      <c r="AK52" s="29" t="n">
        <f aca="false">AG52/Inputs!$C$10</f>
        <v>0.000427283423468966</v>
      </c>
      <c r="AL52" s="5"/>
      <c r="AM52" s="66" t="n">
        <f aca="false">F52</f>
        <v>0.252777777777778</v>
      </c>
      <c r="AN52" s="5"/>
      <c r="AO52" s="5" t="n">
        <f aca="false">AO51+LN(1+($G52+AO$7)*$AM52)</f>
        <v>0.26417974636566</v>
      </c>
      <c r="AP52" s="5" t="n">
        <f aca="false">AP51+LN(1+($G52+AP$7)*$AM52)</f>
        <v>0.265228089183211</v>
      </c>
      <c r="AQ52" s="5" t="n">
        <f aca="false">AQ51+LN(1+($G52+AQ$7)*$AM52)</f>
        <v>0.29890221236505</v>
      </c>
      <c r="AR52" s="5" t="n">
        <f aca="false">AR51+LN(1+($G52+AR$7)*$AM52)</f>
        <v>0.299949685078268</v>
      </c>
      <c r="AS52" s="5" t="n">
        <f aca="false">AS51+LN(1+($G52+AS$7)*$AM52)</f>
        <v>0.299282969076501</v>
      </c>
      <c r="AT52" s="5" t="n">
        <f aca="false">AT51+LN(1+($G52+AT$7)*$AM52)</f>
        <v>0.300330432252425</v>
      </c>
      <c r="AU52" s="5" t="n">
        <f aca="false">AU51+LN(1+($G52+AU$7)*$AM52)</f>
        <v>0.29928288778132</v>
      </c>
      <c r="AV52" s="5" t="n">
        <f aca="false">AV51+LN(1+($G52+AV$7)*$AM52)</f>
        <v>0.30033035095928</v>
      </c>
      <c r="AW52" s="5" t="n">
        <f aca="false">AW51+LN(1+($G52+AW$7)*$AM52)</f>
        <v>0.299282887808584</v>
      </c>
      <c r="AX52" s="5" t="n">
        <f aca="false">AX51+LN(1+($G52+AX$7)*$AM52)</f>
        <v>0.300330350986547</v>
      </c>
      <c r="AY52" s="5" t="n">
        <f aca="false">AY51+LN(1+($G52+AY$7)*$AM52)</f>
        <v>0.299282887808579</v>
      </c>
      <c r="AZ52" s="5" t="n">
        <f aca="false">AZ51+LN(1+($G52+AZ$7)*$AM52)</f>
        <v>0.300330350986537</v>
      </c>
      <c r="BA52" s="5" t="n">
        <f aca="false">BA51+LN(1+($G52+BA$7)*$AM52)</f>
        <v>0.299282887808579</v>
      </c>
      <c r="BB52" s="5" t="n">
        <f aca="false">BB51+LN(1+($G52+BB$7)*$AM52)</f>
        <v>0.300330350986537</v>
      </c>
      <c r="BC52" s="5" t="n">
        <f aca="false">BC51+LN(1+($G52+BC$7)*$AM52)</f>
        <v>0.299282887808579</v>
      </c>
      <c r="BD52" s="5" t="n">
        <f aca="false">BD51+LN(1+($G52+BD$7)*$AM52)</f>
        <v>0.300330350986537</v>
      </c>
      <c r="BE52" s="5" t="n">
        <f aca="false">IF(AB52,O52,IF(D52,MIN(O52,AC52*X52+BF51),0))</f>
        <v>1991474.17484468</v>
      </c>
      <c r="BF52" s="5" t="n">
        <f aca="false">IF(OR(AB52,E52),0,BE52-AD52)</f>
        <v>0</v>
      </c>
      <c r="BG52" s="5" t="n">
        <f aca="false">BG51+LN(1+($G52+BG$7)*$AM52)</f>
        <v>0.288806812721776</v>
      </c>
      <c r="BH52" s="5"/>
      <c r="BI52" s="5" t="n">
        <f aca="false">BI51+LN(1+($G52+BI$7)*$AM52)</f>
        <v>0.309756339095854</v>
      </c>
      <c r="BJ52" s="5"/>
      <c r="BK52" s="62" t="n">
        <f aca="false">C52</f>
        <v>50087</v>
      </c>
      <c r="BL52" s="67" t="n">
        <f aca="false">AI52</f>
        <v>2007955.31588547</v>
      </c>
    </row>
    <row r="53" customFormat="false" ht="15" hidden="false" customHeight="true" outlineLevel="0" collapsed="false">
      <c r="A53" s="3" t="n">
        <v>43</v>
      </c>
      <c r="B53" s="38" t="n">
        <f aca="false">EDATE(Inputs!$C$8,3*(A53-1))</f>
        <v>50175</v>
      </c>
      <c r="C53" s="38" t="n">
        <f aca="false">WORKDAY(B53-1,1)</f>
        <v>50175</v>
      </c>
      <c r="D53" s="61" t="b">
        <f aca="false">C53&lt;=Inputs!$C$9</f>
        <v>1</v>
      </c>
      <c r="E53" s="61" t="b">
        <f aca="false">AND(D53,NOT(D54))</f>
        <v>0</v>
      </c>
      <c r="F53" s="63" t="n">
        <f aca="false">(C53-C52)/360</f>
        <v>0.244444444444444</v>
      </c>
      <c r="G53" s="57" t="n">
        <f aca="false">Curve!D46</f>
        <v>0.02252</v>
      </c>
      <c r="H53" s="64" t="n">
        <f aca="false">AF52</f>
        <v>6932491.28669982</v>
      </c>
      <c r="I53" s="64" t="n">
        <f aca="false">IF(D53,H53*Inputs!$G$22,0)</f>
        <v>1733.77312211416</v>
      </c>
      <c r="J53" s="32" t="n">
        <f aca="false">MAX(Inputs!$G$24-(A53-1),1)</f>
        <v>3.59177046761108</v>
      </c>
      <c r="K53" s="64" t="n">
        <f aca="false">IF(D53,MIN(H53-I53,IF(J53&gt;1,(H53-I53)*Inputs!$G$23/((1+Inputs!$G$23)^J53-1),H53-I53)),0)</f>
        <v>1909899.50742709</v>
      </c>
      <c r="L53" s="64" t="n">
        <f aca="false">IF(D53,(H53-I53-K53)*Inputs!$G$21,0)</f>
        <v>54088.8701788726</v>
      </c>
      <c r="M53" s="64" t="n">
        <f aca="false">IF(A53&gt;Inputs!$G$13,(1-Inputs!$G$12)*INDEX($I$11:$I$190,A53-Inputs!$G$13),0)</f>
        <v>4740.5790430788</v>
      </c>
      <c r="N53" s="64" t="n">
        <f aca="false">IF(D53,(H53-I53)*Inputs!$G$23,0)</f>
        <v>54995.5608702391</v>
      </c>
      <c r="O53" s="64" t="n">
        <f aca="false">AG52</f>
        <v>604071.939929251</v>
      </c>
      <c r="P53" s="64" t="n">
        <f aca="false">AH52</f>
        <v>6581390.33819556</v>
      </c>
      <c r="Q53" s="64" t="n">
        <f aca="false">IF(AND(D53,O53+P53&gt;0),Inputs!$C$25+Inputs!$C$26*H53/4,0)</f>
        <v>101733.122821675</v>
      </c>
      <c r="R53" s="64" t="n">
        <f aca="false">O53*IF(Inputs!$G$19="",G53+Inputs!$C$13,MAX(Inputs!$G$19,G53+Inputs!$C$13))*F53</f>
        <v>3709.27018758334</v>
      </c>
      <c r="S53" s="64" t="n">
        <f aca="false">P53*(G53+Inputs!$C$14)*F53</f>
        <v>47592.0365673342</v>
      </c>
      <c r="T53" s="64" t="n">
        <f aca="false">N53+M53-Q53-R53-S53</f>
        <v>-93298.2896632746</v>
      </c>
      <c r="U53" s="64" t="n">
        <f aca="false">W52</f>
        <v>256409.431424939</v>
      </c>
      <c r="V53" s="64" t="n">
        <f aca="false">MIN(U53+I53,MAX(T53,0))</f>
        <v>0</v>
      </c>
      <c r="W53" s="64" t="n">
        <f aca="false">U53+I53-V53</f>
        <v>258143.204547053</v>
      </c>
      <c r="X53" s="64" t="n">
        <f aca="false">K53+L53+V53+IF(E53,H53-I53-K53-L53,0)</f>
        <v>1963988.37760596</v>
      </c>
      <c r="Y53" s="61" t="b">
        <f aca="false">AND(Inputs!$C$21=1,O53/Inputs!$C$10&lt;=Inputs!$C$22,Inputs!$G$14&lt;Inputs!$C$23,W53&lt;1)</f>
        <v>0</v>
      </c>
      <c r="Z53" s="61" t="b">
        <f aca="false">OR(AND(Inputs!$G$15=1,H53/Inputs!$C$17&lt;=Inputs!$C$24),AND(Inputs!$G$15=2,C53&gt;=Inputs!$G$16))</f>
        <v>0</v>
      </c>
      <c r="AA53" s="61" t="b">
        <f aca="false">OR(AA52,Z53)</f>
        <v>0</v>
      </c>
      <c r="AB53" s="61" t="b">
        <f aca="false">AND(Z53,NOT(AA52),D53,O53&gt;0)</f>
        <v>0</v>
      </c>
      <c r="AC53" s="63" t="n">
        <f aca="false">IF(AND(Y53,NOT(E53),O53+P53&gt;0),O53/(O53+P53),1)</f>
        <v>1</v>
      </c>
      <c r="AD53" s="64" t="n">
        <f aca="false">IF(AB53,O53,IF(D53,MIN(O53,IF(E53,AC53*X53+BF52,BE53*Inputs!$G$20)),0))</f>
        <v>604071.939929251</v>
      </c>
      <c r="AE53" s="64" t="n">
        <f aca="false">IF(AB53,P53,IF(D53,MAX(MIN(P53,X53-MIN(O53,AC53*X53)),0),0))</f>
        <v>1359916.43767671</v>
      </c>
      <c r="AF53" s="64" t="n">
        <f aca="false">IF(OR(AB53,E53),0,MAX(H53-I53-K53-L53,0))</f>
        <v>4966769.13597174</v>
      </c>
      <c r="AG53" s="64" t="n">
        <f aca="false">IF(E53,0,O53-AD53)</f>
        <v>0</v>
      </c>
      <c r="AH53" s="64" t="n">
        <f aca="false">IF(OR(AB53,E53),0,P53-AE53)</f>
        <v>5221473.90051885</v>
      </c>
      <c r="AI53" s="64" t="n">
        <f aca="false">IF(D53,R53+AD53,0)</f>
        <v>607781.210116834</v>
      </c>
      <c r="AJ53" s="65" t="n">
        <f aca="false">(C53-Inputs!$G$6)/365</f>
        <v>10.6465753424658</v>
      </c>
      <c r="AK53" s="29" t="n">
        <f aca="false">AG53/Inputs!$C$10</f>
        <v>0</v>
      </c>
      <c r="AL53" s="5"/>
      <c r="AM53" s="66" t="n">
        <f aca="false">F53</f>
        <v>0.244444444444444</v>
      </c>
      <c r="AN53" s="5"/>
      <c r="AO53" s="5" t="n">
        <f aca="false">AO52+LN(1+($G53+AO$7)*$AM53)</f>
        <v>0.270301415102708</v>
      </c>
      <c r="AP53" s="5" t="n">
        <f aca="false">AP52+LN(1+($G53+AP$7)*$AM53)</f>
        <v>0.271374052885879</v>
      </c>
      <c r="AQ53" s="5" t="n">
        <f aca="false">AQ52+LN(1+($G53+AQ$7)*$AM53)</f>
        <v>0.305828571700974</v>
      </c>
      <c r="AR53" s="5" t="n">
        <f aca="false">AR52+LN(1+($G53+AR$7)*$AM53)</f>
        <v>0.306900319837983</v>
      </c>
      <c r="AS53" s="5" t="n">
        <f aca="false">AS52+LN(1+($G53+AS$7)*$AM53)</f>
        <v>0.306218152535613</v>
      </c>
      <c r="AT53" s="5" t="n">
        <f aca="false">AT52+LN(1+($G53+AT$7)*$AM53)</f>
        <v>0.307289890921123</v>
      </c>
      <c r="AU53" s="5" t="n">
        <f aca="false">AU52+LN(1+($G53+AU$7)*$AM53)</f>
        <v>0.306218069356398</v>
      </c>
      <c r="AV53" s="5" t="n">
        <f aca="false">AV52+LN(1+($G53+AV$7)*$AM53)</f>
        <v>0.307289807743989</v>
      </c>
      <c r="AW53" s="5" t="n">
        <f aca="false">AW52+LN(1+($G53+AW$7)*$AM53)</f>
        <v>0.306218069384293</v>
      </c>
      <c r="AX53" s="5" t="n">
        <f aca="false">AX52+LN(1+($G53+AX$7)*$AM53)</f>
        <v>0.307289807771887</v>
      </c>
      <c r="AY53" s="5" t="n">
        <f aca="false">AY52+LN(1+($G53+AY$7)*$AM53)</f>
        <v>0.306218069384288</v>
      </c>
      <c r="AZ53" s="5" t="n">
        <f aca="false">AZ52+LN(1+($G53+AZ$7)*$AM53)</f>
        <v>0.307289807771877</v>
      </c>
      <c r="BA53" s="5" t="n">
        <f aca="false">BA52+LN(1+($G53+BA$7)*$AM53)</f>
        <v>0.306218069384288</v>
      </c>
      <c r="BB53" s="5" t="n">
        <f aca="false">BB52+LN(1+($G53+BB$7)*$AM53)</f>
        <v>0.307289807771877</v>
      </c>
      <c r="BC53" s="5" t="n">
        <f aca="false">BC52+LN(1+($G53+BC$7)*$AM53)</f>
        <v>0.306218069384288</v>
      </c>
      <c r="BD53" s="5" t="n">
        <f aca="false">BD52+LN(1+($G53+BD$7)*$AM53)</f>
        <v>0.307289807771877</v>
      </c>
      <c r="BE53" s="5" t="n">
        <f aca="false">IF(AB53,O53,IF(D53,MIN(O53,AC53*X53+BF52),0))</f>
        <v>604071.939929251</v>
      </c>
      <c r="BF53" s="5" t="n">
        <f aca="false">IF(OR(AB53,E53),0,BE53-AD53)</f>
        <v>0</v>
      </c>
      <c r="BG53" s="5" t="n">
        <f aca="false">BG52+LN(1+($G53+BG$7)*$AM53)</f>
        <v>0.295499209784948</v>
      </c>
      <c r="BH53" s="5"/>
      <c r="BI53" s="5" t="n">
        <f aca="false">BI52+LN(1+($G53+BI$7)*$AM53)</f>
        <v>0.316934246254087</v>
      </c>
      <c r="BJ53" s="5"/>
      <c r="BK53" s="62" t="n">
        <f aca="false">C53</f>
        <v>50175</v>
      </c>
      <c r="BL53" s="67" t="n">
        <f aca="false">AI53</f>
        <v>607781.210116834</v>
      </c>
    </row>
    <row r="54" customFormat="false" ht="15" hidden="false" customHeight="true" outlineLevel="0" collapsed="false">
      <c r="A54" s="3" t="n">
        <v>44</v>
      </c>
      <c r="B54" s="38" t="n">
        <f aca="false">EDATE(Inputs!$C$8,3*(A54-1))</f>
        <v>50267</v>
      </c>
      <c r="C54" s="38" t="n">
        <f aca="false">WORKDAY(B54-1,1)</f>
        <v>50269</v>
      </c>
      <c r="D54" s="61" t="b">
        <f aca="false">C54&lt;=Inputs!$C$9</f>
        <v>1</v>
      </c>
      <c r="E54" s="61" t="b">
        <f aca="false">AND(D54,NOT(D55))</f>
        <v>0</v>
      </c>
      <c r="F54" s="63" t="n">
        <f aca="false">(C54-C53)/360</f>
        <v>0.261111111111111</v>
      </c>
      <c r="G54" s="57" t="n">
        <f aca="false">Curve!D47</f>
        <v>0.02252</v>
      </c>
      <c r="H54" s="64" t="n">
        <f aca="false">AF53</f>
        <v>4966769.13597174</v>
      </c>
      <c r="I54" s="64" t="n">
        <f aca="false">IF(D54,H54*Inputs!$G$22,0)</f>
        <v>1242.15819040623</v>
      </c>
      <c r="J54" s="32" t="n">
        <f aca="false">MAX(Inputs!$G$24-(A54-1),1)</f>
        <v>2.59177046761108</v>
      </c>
      <c r="K54" s="64" t="n">
        <f aca="false">IF(D54,MIN(H54-I54,IF(J54&gt;1,(H54-I54)*Inputs!$G$23/((1+Inputs!$G$23)^J54-1),H54-I54)),0)</f>
        <v>1903840.00897122</v>
      </c>
      <c r="L54" s="64" t="n">
        <f aca="false">IF(D54,(H54-I54-K54)*Inputs!$G$21,0)</f>
        <v>32983.0456829192</v>
      </c>
      <c r="M54" s="64" t="n">
        <f aca="false">IF(A54&gt;Inputs!$G$13,(1-Inputs!$G$12)*INDEX($I$11:$I$190,A54-Inputs!$G$13),0)</f>
        <v>4300.59728505562</v>
      </c>
      <c r="N54" s="64" t="n">
        <f aca="false">IF(D54,(H54-I54)*Inputs!$G$23,0)</f>
        <v>39401.4565686949</v>
      </c>
      <c r="O54" s="64" t="n">
        <f aca="false">AG53</f>
        <v>0</v>
      </c>
      <c r="P54" s="64" t="n">
        <f aca="false">AH53</f>
        <v>5221473.90051885</v>
      </c>
      <c r="Q54" s="64" t="n">
        <f aca="false">IF(AND(D54,O54+P54&gt;0),Inputs!$C$25+Inputs!$C$26*H54/4,0)</f>
        <v>101241.692283993</v>
      </c>
      <c r="R54" s="64" t="n">
        <f aca="false">O54*IF(Inputs!$G$19="",G54+Inputs!$C$13,MAX(Inputs!$G$19,G54+Inputs!$C$13))*F54</f>
        <v>0</v>
      </c>
      <c r="S54" s="64" t="n">
        <f aca="false">P54*(G54+Inputs!$C$14)*F54</f>
        <v>40332.4805724426</v>
      </c>
      <c r="T54" s="64" t="n">
        <f aca="false">N54+M54-Q54-R54-S54</f>
        <v>-97872.119002685</v>
      </c>
      <c r="U54" s="64" t="n">
        <f aca="false">W53</f>
        <v>258143.204547053</v>
      </c>
      <c r="V54" s="64" t="n">
        <f aca="false">MIN(U54+I54,MAX(T54,0))</f>
        <v>0</v>
      </c>
      <c r="W54" s="64" t="n">
        <f aca="false">U54+I54-V54</f>
        <v>259385.36273746</v>
      </c>
      <c r="X54" s="64" t="n">
        <f aca="false">K54+L54+V54+IF(E54,H54-I54-K54-L54,0)</f>
        <v>1936823.05465414</v>
      </c>
      <c r="Y54" s="61" t="b">
        <f aca="false">AND(Inputs!$C$21=1,O54/Inputs!$C$10&lt;=Inputs!$C$22,Inputs!$G$14&lt;Inputs!$C$23,W54&lt;1)</f>
        <v>0</v>
      </c>
      <c r="Z54" s="61" t="b">
        <f aca="false">OR(AND(Inputs!$G$15=1,H54/Inputs!$C$17&lt;=Inputs!$C$24),AND(Inputs!$G$15=2,C54&gt;=Inputs!$G$16))</f>
        <v>0</v>
      </c>
      <c r="AA54" s="61" t="b">
        <f aca="false">OR(AA53,Z54)</f>
        <v>0</v>
      </c>
      <c r="AB54" s="61" t="b">
        <f aca="false">AND(Z54,NOT(AA53),D54,O54&gt;0)</f>
        <v>0</v>
      </c>
      <c r="AC54" s="63" t="n">
        <f aca="false">IF(AND(Y54,NOT(E54),O54+P54&gt;0),O54/(O54+P54),1)</f>
        <v>1</v>
      </c>
      <c r="AD54" s="64" t="n">
        <f aca="false">IF(AB54,O54,IF(D54,MIN(O54,IF(E54,AC54*X54+BF53,BE54*Inputs!$G$20)),0))</f>
        <v>0</v>
      </c>
      <c r="AE54" s="64" t="n">
        <f aca="false">IF(AB54,P54,IF(D54,MAX(MIN(P54,X54-MIN(O54,AC54*X54)),0),0))</f>
        <v>1936823.05465414</v>
      </c>
      <c r="AF54" s="64" t="n">
        <f aca="false">IF(OR(AB54,E54),0,MAX(H54-I54-K54-L54,0))</f>
        <v>3028703.9231272</v>
      </c>
      <c r="AG54" s="64" t="n">
        <f aca="false">IF(E54,0,O54-AD54)</f>
        <v>0</v>
      </c>
      <c r="AH54" s="64" t="n">
        <f aca="false">IF(OR(AB54,E54),0,P54-AE54)</f>
        <v>3284650.84586471</v>
      </c>
      <c r="AI54" s="64" t="n">
        <f aca="false">IF(D54,R54+AD54,0)</f>
        <v>0</v>
      </c>
      <c r="AJ54" s="65" t="n">
        <f aca="false">(C54-Inputs!$G$6)/365</f>
        <v>10.9041095890411</v>
      </c>
      <c r="AK54" s="29" t="n">
        <f aca="false">AG54/Inputs!$C$10</f>
        <v>0</v>
      </c>
      <c r="AL54" s="5"/>
      <c r="AM54" s="66" t="n">
        <f aca="false">F54</f>
        <v>0.261111111111111</v>
      </c>
      <c r="AN54" s="5"/>
      <c r="AO54" s="5" t="n">
        <f aca="false">AO53+LN(1+($G54+AO$7)*$AM54)</f>
        <v>0.27683910884612</v>
      </c>
      <c r="AP54" s="5" t="n">
        <f aca="false">AP53+LN(1+($G54+AP$7)*$AM54)</f>
        <v>0.277937687254292</v>
      </c>
      <c r="AQ54" s="5" t="n">
        <f aca="false">AQ53+LN(1+($G54+AQ$7)*$AM54)</f>
        <v>0.313225440379655</v>
      </c>
      <c r="AR54" s="5" t="n">
        <f aca="false">AR53+LN(1+($G54+AR$7)*$AM54)</f>
        <v>0.314323106863991</v>
      </c>
      <c r="AS54" s="5" t="n">
        <f aca="false">AS53+LN(1+($G54+AS$7)*$AM54)</f>
        <v>0.313624442545562</v>
      </c>
      <c r="AT54" s="5" t="n">
        <f aca="false">AT53+LN(1+($G54+AT$7)*$AM54)</f>
        <v>0.314722099034218</v>
      </c>
      <c r="AU54" s="5" t="n">
        <f aca="false">AU53+LN(1+($G54+AU$7)*$AM54)</f>
        <v>0.313624357354803</v>
      </c>
      <c r="AV54" s="5" t="n">
        <f aca="false">AV53+LN(1+($G54+AV$7)*$AM54)</f>
        <v>0.314722013845593</v>
      </c>
      <c r="AW54" s="5" t="n">
        <f aca="false">AW53+LN(1+($G54+AW$7)*$AM54)</f>
        <v>0.313624357383374</v>
      </c>
      <c r="AX54" s="5" t="n">
        <f aca="false">AX53+LN(1+($G54+AX$7)*$AM54)</f>
        <v>0.314722013874166</v>
      </c>
      <c r="AY54" s="5" t="n">
        <f aca="false">AY53+LN(1+($G54+AY$7)*$AM54)</f>
        <v>0.313624357383368</v>
      </c>
      <c r="AZ54" s="5" t="n">
        <f aca="false">AZ53+LN(1+($G54+AZ$7)*$AM54)</f>
        <v>0.314722013874156</v>
      </c>
      <c r="BA54" s="5" t="n">
        <f aca="false">BA53+LN(1+($G54+BA$7)*$AM54)</f>
        <v>0.313624357383368</v>
      </c>
      <c r="BB54" s="5" t="n">
        <f aca="false">BB53+LN(1+($G54+BB$7)*$AM54)</f>
        <v>0.314722013874156</v>
      </c>
      <c r="BC54" s="5" t="n">
        <f aca="false">BC53+LN(1+($G54+BC$7)*$AM54)</f>
        <v>0.313624357383368</v>
      </c>
      <c r="BD54" s="5" t="n">
        <f aca="false">BD53+LN(1+($G54+BD$7)*$AM54)</f>
        <v>0.314722013874156</v>
      </c>
      <c r="BE54" s="5" t="n">
        <f aca="false">IF(AB54,O54,IF(D54,MIN(O54,AC54*X54+BF53),0))</f>
        <v>0</v>
      </c>
      <c r="BF54" s="5" t="n">
        <f aca="false">IF(OR(AB54,E54),0,BE54-AD54)</f>
        <v>0</v>
      </c>
      <c r="BG54" s="5" t="n">
        <f aca="false">BG53+LN(1+($G54+BG$7)*$AM54)</f>
        <v>0.302646279799197</v>
      </c>
      <c r="BH54" s="5"/>
      <c r="BI54" s="5" t="n">
        <f aca="false">BI53+LN(1+($G54+BI$7)*$AM54)</f>
        <v>0.324599685061448</v>
      </c>
      <c r="BJ54" s="5"/>
      <c r="BK54" s="62" t="n">
        <f aca="false">C54</f>
        <v>50269</v>
      </c>
      <c r="BL54" s="67" t="n">
        <f aca="false">AI54</f>
        <v>0</v>
      </c>
    </row>
    <row r="55" customFormat="false" ht="15" hidden="false" customHeight="true" outlineLevel="0" collapsed="false">
      <c r="A55" s="3" t="n">
        <v>45</v>
      </c>
      <c r="B55" s="38" t="n">
        <f aca="false">EDATE(Inputs!$C$8,3*(A55-1))</f>
        <v>50359</v>
      </c>
      <c r="C55" s="38" t="n">
        <f aca="false">WORKDAY(B55-1,1)</f>
        <v>50360</v>
      </c>
      <c r="D55" s="61" t="b">
        <f aca="false">C55&lt;=Inputs!$C$9</f>
        <v>1</v>
      </c>
      <c r="E55" s="61" t="b">
        <f aca="false">AND(D55,NOT(D56))</f>
        <v>0</v>
      </c>
      <c r="F55" s="63" t="n">
        <f aca="false">(C55-C54)/360</f>
        <v>0.252777777777778</v>
      </c>
      <c r="G55" s="57" t="n">
        <f aca="false">Curve!D48</f>
        <v>0.02252</v>
      </c>
      <c r="H55" s="64" t="n">
        <f aca="false">AF54</f>
        <v>3028703.9231272</v>
      </c>
      <c r="I55" s="64" t="n">
        <f aca="false">IF(D55,H55*Inputs!$G$22,0)</f>
        <v>757.460087520631</v>
      </c>
      <c r="J55" s="32" t="n">
        <f aca="false">MAX(Inputs!$G$24-(A55-1),1)</f>
        <v>1.59177046761108</v>
      </c>
      <c r="K55" s="64" t="n">
        <f aca="false">IF(D55,MIN(H55-I55,IF(J55&gt;1,(H55-I55)*Inputs!$G$23/((1+Inputs!$G$23)^J55-1),H55-I55)),0)</f>
        <v>1897799.73536012</v>
      </c>
      <c r="L55" s="64" t="n">
        <f aca="false">IF(D55,(H55-I55-K55)*Inputs!$G$21,0)</f>
        <v>12174.8831697001</v>
      </c>
      <c r="M55" s="64" t="n">
        <f aca="false">IF(A55&gt;Inputs!$G$13,(1-Inputs!$G$12)*INDEX($I$11:$I$190,A55-Inputs!$G$13),0)</f>
        <v>3866.69440176146</v>
      </c>
      <c r="N55" s="64" t="n">
        <f aca="false">IF(D55,(H55-I55)*Inputs!$G$23,0)</f>
        <v>24026.7551842199</v>
      </c>
      <c r="O55" s="64" t="n">
        <f aca="false">AG54</f>
        <v>0</v>
      </c>
      <c r="P55" s="64" t="n">
        <f aca="false">AH54</f>
        <v>3284650.84586471</v>
      </c>
      <c r="Q55" s="64" t="n">
        <f aca="false">IF(AND(D55,O55+P55&gt;0),Inputs!$C$25+Inputs!$C$26*H55/4,0)</f>
        <v>100757.175980782</v>
      </c>
      <c r="R55" s="64" t="n">
        <f aca="false">O55*IF(Inputs!$G$19="",G55+Inputs!$C$13,MAX(Inputs!$G$19,G55+Inputs!$C$13))*F55</f>
        <v>0</v>
      </c>
      <c r="S55" s="64" t="n">
        <f aca="false">P55*(G55+Inputs!$C$14)*F55</f>
        <v>24562.0477817509</v>
      </c>
      <c r="T55" s="64" t="n">
        <f aca="false">N55+M55-Q55-R55-S55</f>
        <v>-97425.7741765514</v>
      </c>
      <c r="U55" s="64" t="n">
        <f aca="false">W54</f>
        <v>259385.36273746</v>
      </c>
      <c r="V55" s="64" t="n">
        <f aca="false">MIN(U55+I55,MAX(T55,0))</f>
        <v>0</v>
      </c>
      <c r="W55" s="64" t="n">
        <f aca="false">U55+I55-V55</f>
        <v>260142.82282498</v>
      </c>
      <c r="X55" s="64" t="n">
        <f aca="false">K55+L55+V55+IF(E55,H55-I55-K55-L55,0)</f>
        <v>1909974.61852982</v>
      </c>
      <c r="Y55" s="61" t="b">
        <f aca="false">AND(Inputs!$C$21=1,O55/Inputs!$C$10&lt;=Inputs!$C$22,Inputs!$G$14&lt;Inputs!$C$23,W55&lt;1)</f>
        <v>0</v>
      </c>
      <c r="Z55" s="61" t="b">
        <f aca="false">OR(AND(Inputs!$G$15=1,H55/Inputs!$C$17&lt;=Inputs!$C$24),AND(Inputs!$G$15=2,C55&gt;=Inputs!$G$16))</f>
        <v>0</v>
      </c>
      <c r="AA55" s="61" t="b">
        <f aca="false">OR(AA54,Z55)</f>
        <v>0</v>
      </c>
      <c r="AB55" s="61" t="b">
        <f aca="false">AND(Z55,NOT(AA54),D55,O55&gt;0)</f>
        <v>0</v>
      </c>
      <c r="AC55" s="63" t="n">
        <f aca="false">IF(AND(Y55,NOT(E55),O55+P55&gt;0),O55/(O55+P55),1)</f>
        <v>1</v>
      </c>
      <c r="AD55" s="64" t="n">
        <f aca="false">IF(AB55,O55,IF(D55,MIN(O55,IF(E55,AC55*X55+BF54,BE55*Inputs!$G$20)),0))</f>
        <v>0</v>
      </c>
      <c r="AE55" s="64" t="n">
        <f aca="false">IF(AB55,P55,IF(D55,MAX(MIN(P55,X55-MIN(O55,AC55*X55)),0),0))</f>
        <v>1909974.61852982</v>
      </c>
      <c r="AF55" s="64" t="n">
        <f aca="false">IF(OR(AB55,E55),0,MAX(H55-I55-K55-L55,0))</f>
        <v>1117971.84450986</v>
      </c>
      <c r="AG55" s="64" t="n">
        <f aca="false">IF(E55,0,O55-AD55)</f>
        <v>0</v>
      </c>
      <c r="AH55" s="64" t="n">
        <f aca="false">IF(OR(AB55,E55),0,P55-AE55)</f>
        <v>1374676.22733489</v>
      </c>
      <c r="AI55" s="64" t="n">
        <f aca="false">IF(D55,R55+AD55,0)</f>
        <v>0</v>
      </c>
      <c r="AJ55" s="65" t="n">
        <f aca="false">(C55-Inputs!$G$6)/365</f>
        <v>11.1534246575342</v>
      </c>
      <c r="AK55" s="29" t="n">
        <f aca="false">AG55/Inputs!$C$10</f>
        <v>0</v>
      </c>
      <c r="AL55" s="5"/>
      <c r="AM55" s="66" t="n">
        <f aca="false">F55</f>
        <v>0.252777777777778</v>
      </c>
      <c r="AN55" s="5"/>
      <c r="AO55" s="5" t="n">
        <f aca="false">AO54+LN(1+($G55+AO$7)*$AM55)</f>
        <v>0.28316881172095</v>
      </c>
      <c r="AP55" s="5" t="n">
        <f aca="false">AP54+LN(1+($G55+AP$7)*$AM55)</f>
        <v>0.284292508095931</v>
      </c>
      <c r="AQ55" s="5" t="n">
        <f aca="false">AQ54+LN(1+($G55+AQ$7)*$AM55)</f>
        <v>0.320387082059337</v>
      </c>
      <c r="AR55" s="5" t="n">
        <f aca="false">AR54+LN(1+($G55+AR$7)*$AM55)</f>
        <v>0.321509845622823</v>
      </c>
      <c r="AS55" s="5" t="n">
        <f aca="false">AS54+LN(1+($G55+AS$7)*$AM55)</f>
        <v>0.320795207022765</v>
      </c>
      <c r="AT55" s="5" t="n">
        <f aca="false">AT54+LN(1+($G55+AT$7)*$AM55)</f>
        <v>0.321917960361619</v>
      </c>
      <c r="AU55" s="5" t="n">
        <f aca="false">AU54+LN(1+($G55+AU$7)*$AM55)</f>
        <v>0.320795119884203</v>
      </c>
      <c r="AV55" s="5" t="n">
        <f aca="false">AV54+LN(1+($G55+AV$7)*$AM55)</f>
        <v>0.321917873225239</v>
      </c>
      <c r="AW55" s="5" t="n">
        <f aca="false">AW54+LN(1+($G55+AW$7)*$AM55)</f>
        <v>0.320795119913426</v>
      </c>
      <c r="AX55" s="5" t="n">
        <f aca="false">AX54+LN(1+($G55+AX$7)*$AM55)</f>
        <v>0.321917873254465</v>
      </c>
      <c r="AY55" s="5" t="n">
        <f aca="false">AY54+LN(1+($G55+AY$7)*$AM55)</f>
        <v>0.320795119913421</v>
      </c>
      <c r="AZ55" s="5" t="n">
        <f aca="false">AZ54+LN(1+($G55+AZ$7)*$AM55)</f>
        <v>0.321917873254455</v>
      </c>
      <c r="BA55" s="5" t="n">
        <f aca="false">BA54+LN(1+($G55+BA$7)*$AM55)</f>
        <v>0.320795119913421</v>
      </c>
      <c r="BB55" s="5" t="n">
        <f aca="false">BB54+LN(1+($G55+BB$7)*$AM55)</f>
        <v>0.321917873254455</v>
      </c>
      <c r="BC55" s="5" t="n">
        <f aca="false">BC54+LN(1+($G55+BC$7)*$AM55)</f>
        <v>0.320795119913421</v>
      </c>
      <c r="BD55" s="5" t="n">
        <f aca="false">BD54+LN(1+($G55+BD$7)*$AM55)</f>
        <v>0.321917873254455</v>
      </c>
      <c r="BE55" s="5" t="n">
        <f aca="false">IF(AB55,O55,IF(D55,MIN(O55,AC55*X55+BF54),0))</f>
        <v>0</v>
      </c>
      <c r="BF55" s="5" t="n">
        <f aca="false">IF(OR(AB55,E55),0,BE55-AD55)</f>
        <v>0</v>
      </c>
      <c r="BG55" s="5" t="n">
        <f aca="false">BG54+LN(1+($G55+BG$7)*$AM55)</f>
        <v>0.309566039178844</v>
      </c>
      <c r="BH55" s="5"/>
      <c r="BI55" s="5" t="n">
        <f aca="false">BI54+LN(1+($G55+BI$7)*$AM55)</f>
        <v>0.332021387755134</v>
      </c>
      <c r="BJ55" s="5"/>
      <c r="BK55" s="62" t="n">
        <f aca="false">C55</f>
        <v>50360</v>
      </c>
      <c r="BL55" s="67" t="n">
        <f aca="false">AI55</f>
        <v>0</v>
      </c>
    </row>
    <row r="56" customFormat="false" ht="15" hidden="false" customHeight="true" outlineLevel="0" collapsed="false">
      <c r="A56" s="3" t="n">
        <v>46</v>
      </c>
      <c r="B56" s="38" t="n">
        <f aca="false">EDATE(Inputs!$C$8,3*(A56-1))</f>
        <v>50451</v>
      </c>
      <c r="C56" s="38" t="n">
        <f aca="false">WORKDAY(B56-1,1)</f>
        <v>50451</v>
      </c>
      <c r="D56" s="61" t="b">
        <f aca="false">C56&lt;=Inputs!$C$9</f>
        <v>1</v>
      </c>
      <c r="E56" s="61" t="b">
        <f aca="false">AND(D56,NOT(D57))</f>
        <v>0</v>
      </c>
      <c r="F56" s="63" t="n">
        <f aca="false">(C56-C55)/360</f>
        <v>0.252777777777778</v>
      </c>
      <c r="G56" s="57" t="n">
        <f aca="false">Curve!D49</f>
        <v>0.02252</v>
      </c>
      <c r="H56" s="64" t="n">
        <f aca="false">AF55</f>
        <v>1117971.84450986</v>
      </c>
      <c r="I56" s="64" t="n">
        <f aca="false">IF(D56,H56*Inputs!$G$22,0)</f>
        <v>279.597832168976</v>
      </c>
      <c r="J56" s="32" t="n">
        <f aca="false">MAX(Inputs!$G$24-(A56-1),1)</f>
        <v>1</v>
      </c>
      <c r="K56" s="64" t="n">
        <f aca="false">IF(D56,MIN(H56-I56,IF(J56&gt;1,(H56-I56)*Inputs!$G$23/((1+Inputs!$G$23)^J56-1),H56-I56)),0)</f>
        <v>1117692.24667769</v>
      </c>
      <c r="L56" s="64" t="n">
        <f aca="false">IF(D56,(H56-I56-K56)*Inputs!$G$21,0)</f>
        <v>0</v>
      </c>
      <c r="M56" s="64" t="n">
        <f aca="false">IF(A56&gt;Inputs!$G$13,(1-Inputs!$G$12)*INDEX($I$11:$I$190,A56-Inputs!$G$13),0)</f>
        <v>3438.79949963228</v>
      </c>
      <c r="N56" s="64" t="n">
        <f aca="false">IF(D56,(H56-I56)*Inputs!$G$23,0)</f>
        <v>8868.88797738745</v>
      </c>
      <c r="O56" s="64" t="n">
        <f aca="false">AG55</f>
        <v>0</v>
      </c>
      <c r="P56" s="64" t="n">
        <f aca="false">AH55</f>
        <v>1374676.22733489</v>
      </c>
      <c r="Q56" s="64" t="n">
        <f aca="false">IF(AND(D56,O56+P56&gt;0),Inputs!$C$25+Inputs!$C$26*H56/4,0)</f>
        <v>100279.492961127</v>
      </c>
      <c r="R56" s="64" t="n">
        <f aca="false">O56*IF(Inputs!$G$19="",G56+Inputs!$C$13,MAX(Inputs!$G$19,G56+Inputs!$C$13))*F56</f>
        <v>0</v>
      </c>
      <c r="S56" s="64" t="n">
        <f aca="false">P56*(G56+Inputs!$C$14)*F56</f>
        <v>10279.5897538838</v>
      </c>
      <c r="T56" s="64" t="n">
        <f aca="false">N56+M56-Q56-R56-S56</f>
        <v>-98251.3952379915</v>
      </c>
      <c r="U56" s="64" t="n">
        <f aca="false">W55</f>
        <v>260142.82282498</v>
      </c>
      <c r="V56" s="64" t="n">
        <f aca="false">MIN(U56+I56,MAX(T56,0))</f>
        <v>0</v>
      </c>
      <c r="W56" s="64" t="n">
        <f aca="false">U56+I56-V56</f>
        <v>260422.420657149</v>
      </c>
      <c r="X56" s="64" t="n">
        <f aca="false">K56+L56+V56+IF(E56,H56-I56-K56-L56,0)</f>
        <v>1117692.24667769</v>
      </c>
      <c r="Y56" s="61" t="b">
        <f aca="false">AND(Inputs!$C$21=1,O56/Inputs!$C$10&lt;=Inputs!$C$22,Inputs!$G$14&lt;Inputs!$C$23,W56&lt;1)</f>
        <v>0</v>
      </c>
      <c r="Z56" s="61" t="b">
        <f aca="false">OR(AND(Inputs!$G$15=1,H56/Inputs!$C$17&lt;=Inputs!$C$24),AND(Inputs!$G$15=2,C56&gt;=Inputs!$G$16))</f>
        <v>0</v>
      </c>
      <c r="AA56" s="61" t="b">
        <f aca="false">OR(AA55,Z56)</f>
        <v>0</v>
      </c>
      <c r="AB56" s="61" t="b">
        <f aca="false">AND(Z56,NOT(AA55),D56,O56&gt;0)</f>
        <v>0</v>
      </c>
      <c r="AC56" s="63" t="n">
        <f aca="false">IF(AND(Y56,NOT(E56),O56+P56&gt;0),O56/(O56+P56),1)</f>
        <v>1</v>
      </c>
      <c r="AD56" s="64" t="n">
        <f aca="false">IF(AB56,O56,IF(D56,MIN(O56,IF(E56,AC56*X56+BF55,BE56*Inputs!$G$20)),0))</f>
        <v>0</v>
      </c>
      <c r="AE56" s="64" t="n">
        <f aca="false">IF(AB56,P56,IF(D56,MAX(MIN(P56,X56-MIN(O56,AC56*X56)),0),0))</f>
        <v>1117692.24667769</v>
      </c>
      <c r="AF56" s="64" t="n">
        <f aca="false">IF(OR(AB56,E56),0,MAX(H56-I56-K56-L56,0))</f>
        <v>0</v>
      </c>
      <c r="AG56" s="64" t="n">
        <f aca="false">IF(E56,0,O56-AD56)</f>
        <v>0</v>
      </c>
      <c r="AH56" s="64" t="n">
        <f aca="false">IF(OR(AB56,E56),0,P56-AE56)</f>
        <v>256983.980657201</v>
      </c>
      <c r="AI56" s="64" t="n">
        <f aca="false">IF(D56,R56+AD56,0)</f>
        <v>0</v>
      </c>
      <c r="AJ56" s="65" t="n">
        <f aca="false">(C56-Inputs!$G$6)/365</f>
        <v>11.4027397260274</v>
      </c>
      <c r="AK56" s="29" t="n">
        <f aca="false">AG56/Inputs!$C$10</f>
        <v>0</v>
      </c>
      <c r="AL56" s="5"/>
      <c r="AM56" s="66" t="n">
        <f aca="false">F56</f>
        <v>0.252777777777778</v>
      </c>
      <c r="AN56" s="5"/>
      <c r="AO56" s="5" t="n">
        <f aca="false">AO55+LN(1+($G56+AO$7)*$AM56)</f>
        <v>0.28949851459578</v>
      </c>
      <c r="AP56" s="5" t="n">
        <f aca="false">AP55+LN(1+($G56+AP$7)*$AM56)</f>
        <v>0.290647328937569</v>
      </c>
      <c r="AQ56" s="5" t="n">
        <f aca="false">AQ55+LN(1+($G56+AQ$7)*$AM56)</f>
        <v>0.32754872373902</v>
      </c>
      <c r="AR56" s="5" t="n">
        <f aca="false">AR55+LN(1+($G56+AR$7)*$AM56)</f>
        <v>0.328696584381655</v>
      </c>
      <c r="AS56" s="5" t="n">
        <f aca="false">AS55+LN(1+($G56+AS$7)*$AM56)</f>
        <v>0.327965971499969</v>
      </c>
      <c r="AT56" s="5" t="n">
        <f aca="false">AT55+LN(1+($G56+AT$7)*$AM56)</f>
        <v>0.32911382168902</v>
      </c>
      <c r="AU56" s="5" t="n">
        <f aca="false">AU55+LN(1+($G56+AU$7)*$AM56)</f>
        <v>0.327965882413602</v>
      </c>
      <c r="AV56" s="5" t="n">
        <f aca="false">AV55+LN(1+($G56+AV$7)*$AM56)</f>
        <v>0.329113732604884</v>
      </c>
      <c r="AW56" s="5" t="n">
        <f aca="false">AW55+LN(1+($G56+AW$7)*$AM56)</f>
        <v>0.327965882443479</v>
      </c>
      <c r="AX56" s="5" t="n">
        <f aca="false">AX55+LN(1+($G56+AX$7)*$AM56)</f>
        <v>0.329113732634763</v>
      </c>
      <c r="AY56" s="5" t="n">
        <f aca="false">AY55+LN(1+($G56+AY$7)*$AM56)</f>
        <v>0.327965882443473</v>
      </c>
      <c r="AZ56" s="5" t="n">
        <f aca="false">AZ55+LN(1+($G56+AZ$7)*$AM56)</f>
        <v>0.329113732634753</v>
      </c>
      <c r="BA56" s="5" t="n">
        <f aca="false">BA55+LN(1+($G56+BA$7)*$AM56)</f>
        <v>0.327965882443473</v>
      </c>
      <c r="BB56" s="5" t="n">
        <f aca="false">BB55+LN(1+($G56+BB$7)*$AM56)</f>
        <v>0.329113732634753</v>
      </c>
      <c r="BC56" s="5" t="n">
        <f aca="false">BC55+LN(1+($G56+BC$7)*$AM56)</f>
        <v>0.327965882443473</v>
      </c>
      <c r="BD56" s="5" t="n">
        <f aca="false">BD55+LN(1+($G56+BD$7)*$AM56)</f>
        <v>0.329113732634753</v>
      </c>
      <c r="BE56" s="5" t="n">
        <f aca="false">IF(AB56,O56,IF(D56,MIN(O56,AC56*X56+BF55),0))</f>
        <v>0</v>
      </c>
      <c r="BF56" s="5" t="n">
        <f aca="false">IF(OR(AB56,E56),0,BE56-AD56)</f>
        <v>0</v>
      </c>
      <c r="BG56" s="5" t="n">
        <f aca="false">BG55+LN(1+($G56+BG$7)*$AM56)</f>
        <v>0.316485798558491</v>
      </c>
      <c r="BH56" s="5"/>
      <c r="BI56" s="5" t="n">
        <f aca="false">BI55+LN(1+($G56+BI$7)*$AM56)</f>
        <v>0.33944309044882</v>
      </c>
      <c r="BJ56" s="5"/>
      <c r="BK56" s="62" t="n">
        <f aca="false">C56</f>
        <v>50451</v>
      </c>
      <c r="BL56" s="67" t="n">
        <f aca="false">AI56</f>
        <v>0</v>
      </c>
    </row>
    <row r="57" customFormat="false" ht="15" hidden="false" customHeight="true" outlineLevel="0" collapsed="false">
      <c r="A57" s="3" t="n">
        <v>47</v>
      </c>
      <c r="B57" s="38" t="n">
        <f aca="false">EDATE(Inputs!$C$8,3*(A57-1))</f>
        <v>50540</v>
      </c>
      <c r="C57" s="38" t="n">
        <f aca="false">WORKDAY(B57-1,1)</f>
        <v>50542</v>
      </c>
      <c r="D57" s="61" t="b">
        <f aca="false">C57&lt;=Inputs!$C$9</f>
        <v>1</v>
      </c>
      <c r="E57" s="61" t="b">
        <f aca="false">AND(D57,NOT(D58))</f>
        <v>0</v>
      </c>
      <c r="F57" s="63" t="n">
        <f aca="false">(C57-C56)/360</f>
        <v>0.252777777777778</v>
      </c>
      <c r="G57" s="57" t="n">
        <f aca="false">Curve!D50</f>
        <v>0.02252</v>
      </c>
      <c r="H57" s="64" t="n">
        <f aca="false">AF56</f>
        <v>0</v>
      </c>
      <c r="I57" s="64" t="n">
        <f aca="false">IF(D57,H57*Inputs!$G$22,0)</f>
        <v>0</v>
      </c>
      <c r="J57" s="32" t="n">
        <f aca="false">MAX(Inputs!$G$24-(A57-1),1)</f>
        <v>1</v>
      </c>
      <c r="K57" s="64" t="n">
        <f aca="false">IF(D57,MIN(H57-I57,IF(J57&gt;1,(H57-I57)*Inputs!$G$23/((1+Inputs!$G$23)^J57-1),H57-I57)),0)</f>
        <v>0</v>
      </c>
      <c r="L57" s="64" t="n">
        <f aca="false">IF(D57,(H57-I57-K57)*Inputs!$G$21,0)</f>
        <v>0</v>
      </c>
      <c r="M57" s="64" t="n">
        <f aca="false">IF(A57&gt;Inputs!$G$13,(1-Inputs!$G$12)*INDEX($I$11:$I$190,A57-Inputs!$G$13),0)</f>
        <v>3016.84247875052</v>
      </c>
      <c r="N57" s="64" t="n">
        <f aca="false">IF(D57,(H57-I57)*Inputs!$G$23,0)</f>
        <v>0</v>
      </c>
      <c r="O57" s="64" t="n">
        <f aca="false">AG56</f>
        <v>0</v>
      </c>
      <c r="P57" s="64" t="n">
        <f aca="false">AH56</f>
        <v>256983.980657201</v>
      </c>
      <c r="Q57" s="64" t="n">
        <f aca="false">IF(AND(D57,O57+P57&gt;0),Inputs!$C$25+Inputs!$C$26*H57/4,0)</f>
        <v>100000</v>
      </c>
      <c r="R57" s="64" t="n">
        <f aca="false">O57*IF(Inputs!$G$19="",G57+Inputs!$C$13,MAX(Inputs!$G$19,G57+Inputs!$C$13))*F57</f>
        <v>0</v>
      </c>
      <c r="S57" s="64" t="n">
        <f aca="false">P57*(G57+Inputs!$C$14)*F57</f>
        <v>1921.68151448835</v>
      </c>
      <c r="T57" s="64" t="n">
        <f aca="false">N57+M57-Q57-R57-S57</f>
        <v>-98904.8390357378</v>
      </c>
      <c r="U57" s="64" t="n">
        <f aca="false">W56</f>
        <v>260422.420657149</v>
      </c>
      <c r="V57" s="64" t="n">
        <f aca="false">MIN(U57+I57,MAX(T57,0))</f>
        <v>0</v>
      </c>
      <c r="W57" s="64" t="n">
        <f aca="false">U57+I57-V57</f>
        <v>260422.420657149</v>
      </c>
      <c r="X57" s="64" t="n">
        <f aca="false">K57+L57+V57+IF(E57,H57-I57-K57-L57,0)</f>
        <v>0</v>
      </c>
      <c r="Y57" s="61" t="b">
        <f aca="false">AND(Inputs!$C$21=1,O57/Inputs!$C$10&lt;=Inputs!$C$22,Inputs!$G$14&lt;Inputs!$C$23,W57&lt;1)</f>
        <v>0</v>
      </c>
      <c r="Z57" s="61" t="b">
        <f aca="false">OR(AND(Inputs!$G$15=1,H57/Inputs!$C$17&lt;=Inputs!$C$24),AND(Inputs!$G$15=2,C57&gt;=Inputs!$G$16))</f>
        <v>0</v>
      </c>
      <c r="AA57" s="61" t="b">
        <f aca="false">OR(AA56,Z57)</f>
        <v>0</v>
      </c>
      <c r="AB57" s="61" t="b">
        <f aca="false">AND(Z57,NOT(AA56),D57,O57&gt;0)</f>
        <v>0</v>
      </c>
      <c r="AC57" s="63" t="n">
        <f aca="false">IF(AND(Y57,NOT(E57),O57+P57&gt;0),O57/(O57+P57),1)</f>
        <v>1</v>
      </c>
      <c r="AD57" s="64" t="n">
        <f aca="false">IF(AB57,O57,IF(D57,MIN(O57,IF(E57,AC57*X57+BF56,BE57*Inputs!$G$20)),0))</f>
        <v>0</v>
      </c>
      <c r="AE57" s="64" t="n">
        <f aca="false">IF(AB57,P57,IF(D57,MAX(MIN(P57,X57-MIN(O57,AC57*X57)),0),0))</f>
        <v>0</v>
      </c>
      <c r="AF57" s="64" t="n">
        <f aca="false">IF(OR(AB57,E57),0,MAX(H57-I57-K57-L57,0))</f>
        <v>0</v>
      </c>
      <c r="AG57" s="64" t="n">
        <f aca="false">IF(E57,0,O57-AD57)</f>
        <v>0</v>
      </c>
      <c r="AH57" s="64" t="n">
        <f aca="false">IF(OR(AB57,E57),0,P57-AE57)</f>
        <v>256983.980657201</v>
      </c>
      <c r="AI57" s="64" t="n">
        <f aca="false">IF(D57,R57+AD57,0)</f>
        <v>0</v>
      </c>
      <c r="AJ57" s="65" t="n">
        <f aca="false">(C57-Inputs!$G$6)/365</f>
        <v>11.6520547945205</v>
      </c>
      <c r="AK57" s="29" t="n">
        <f aca="false">AG57/Inputs!$C$10</f>
        <v>0</v>
      </c>
      <c r="AL57" s="5"/>
      <c r="AM57" s="66" t="n">
        <f aca="false">F57</f>
        <v>0.252777777777778</v>
      </c>
      <c r="AN57" s="5"/>
      <c r="AO57" s="5" t="n">
        <f aca="false">AO56+LN(1+($G57+AO$7)*$AM57)</f>
        <v>0.29582821747061</v>
      </c>
      <c r="AP57" s="5" t="n">
        <f aca="false">AP56+LN(1+($G57+AP$7)*$AM57)</f>
        <v>0.297002149779208</v>
      </c>
      <c r="AQ57" s="5" t="n">
        <f aca="false">AQ56+LN(1+($G57+AQ$7)*$AM57)</f>
        <v>0.334710365418703</v>
      </c>
      <c r="AR57" s="5" t="n">
        <f aca="false">AR56+LN(1+($G57+AR$7)*$AM57)</f>
        <v>0.335883323140487</v>
      </c>
      <c r="AS57" s="5" t="n">
        <f aca="false">AS56+LN(1+($G57+AS$7)*$AM57)</f>
        <v>0.335136735977172</v>
      </c>
      <c r="AT57" s="5" t="n">
        <f aca="false">AT56+LN(1+($G57+AT$7)*$AM57)</f>
        <v>0.336309683016421</v>
      </c>
      <c r="AU57" s="5" t="n">
        <f aca="false">AU56+LN(1+($G57+AU$7)*$AM57)</f>
        <v>0.335136644943001</v>
      </c>
      <c r="AV57" s="5" t="n">
        <f aca="false">AV56+LN(1+($G57+AV$7)*$AM57)</f>
        <v>0.33630959198453</v>
      </c>
      <c r="AW57" s="5" t="n">
        <f aca="false">AW56+LN(1+($G57+AW$7)*$AM57)</f>
        <v>0.335136644973531</v>
      </c>
      <c r="AX57" s="5" t="n">
        <f aca="false">AX56+LN(1+($G57+AX$7)*$AM57)</f>
        <v>0.336309592015062</v>
      </c>
      <c r="AY57" s="5" t="n">
        <f aca="false">AY56+LN(1+($G57+AY$7)*$AM57)</f>
        <v>0.335136644973525</v>
      </c>
      <c r="AZ57" s="5" t="n">
        <f aca="false">AZ56+LN(1+($G57+AZ$7)*$AM57)</f>
        <v>0.336309592015052</v>
      </c>
      <c r="BA57" s="5" t="n">
        <f aca="false">BA56+LN(1+($G57+BA$7)*$AM57)</f>
        <v>0.335136644973525</v>
      </c>
      <c r="BB57" s="5" t="n">
        <f aca="false">BB56+LN(1+($G57+BB$7)*$AM57)</f>
        <v>0.336309592015052</v>
      </c>
      <c r="BC57" s="5" t="n">
        <f aca="false">BC56+LN(1+($G57+BC$7)*$AM57)</f>
        <v>0.335136644973525</v>
      </c>
      <c r="BD57" s="5" t="n">
        <f aca="false">BD56+LN(1+($G57+BD$7)*$AM57)</f>
        <v>0.336309592015052</v>
      </c>
      <c r="BE57" s="5" t="n">
        <f aca="false">IF(AB57,O57,IF(D57,MIN(O57,AC57*X57+BF56),0))</f>
        <v>0</v>
      </c>
      <c r="BF57" s="5" t="n">
        <f aca="false">IF(OR(AB57,E57),0,BE57-AD57)</f>
        <v>0</v>
      </c>
      <c r="BG57" s="5" t="n">
        <f aca="false">BG56+LN(1+($G57+BG$7)*$AM57)</f>
        <v>0.323405557938137</v>
      </c>
      <c r="BH57" s="5"/>
      <c r="BI57" s="5" t="n">
        <f aca="false">BI56+LN(1+($G57+BI$7)*$AM57)</f>
        <v>0.346864793142505</v>
      </c>
      <c r="BJ57" s="5"/>
      <c r="BK57" s="62" t="n">
        <f aca="false">C57</f>
        <v>50542</v>
      </c>
      <c r="BL57" s="67" t="n">
        <f aca="false">AI57</f>
        <v>0</v>
      </c>
    </row>
    <row r="58" customFormat="false" ht="15" hidden="false" customHeight="true" outlineLevel="0" collapsed="false">
      <c r="A58" s="3" t="n">
        <v>48</v>
      </c>
      <c r="B58" s="38" t="n">
        <f aca="false">EDATE(Inputs!$C$8,3*(A58-1))</f>
        <v>50632</v>
      </c>
      <c r="C58" s="38" t="n">
        <f aca="false">WORKDAY(B58-1,1)</f>
        <v>50633</v>
      </c>
      <c r="D58" s="61" t="b">
        <f aca="false">C58&lt;=Inputs!$C$9</f>
        <v>1</v>
      </c>
      <c r="E58" s="61" t="b">
        <f aca="false">AND(D58,NOT(D59))</f>
        <v>0</v>
      </c>
      <c r="F58" s="63" t="n">
        <f aca="false">(C58-C57)/360</f>
        <v>0.252777777777778</v>
      </c>
      <c r="G58" s="57" t="n">
        <f aca="false">Curve!D51</f>
        <v>0.02252</v>
      </c>
      <c r="H58" s="64" t="n">
        <f aca="false">AF57</f>
        <v>0</v>
      </c>
      <c r="I58" s="64" t="n">
        <f aca="false">IF(D58,H58*Inputs!$G$22,0)</f>
        <v>0</v>
      </c>
      <c r="J58" s="32" t="n">
        <f aca="false">MAX(Inputs!$G$24-(A58-1),1)</f>
        <v>1</v>
      </c>
      <c r="K58" s="64" t="n">
        <f aca="false">IF(D58,MIN(H58-I58,IF(J58&gt;1,(H58-I58)*Inputs!$G$23/((1+Inputs!$G$23)^J58-1),H58-I58)),0)</f>
        <v>0</v>
      </c>
      <c r="L58" s="64" t="n">
        <f aca="false">IF(D58,(H58-I58-K58)*Inputs!$G$21,0)</f>
        <v>0</v>
      </c>
      <c r="M58" s="64" t="n">
        <f aca="false">IF(A58&gt;Inputs!$G$13,(1-Inputs!$G$12)*INDEX($I$11:$I$190,A58-Inputs!$G$13),0)</f>
        <v>2600.75402405957</v>
      </c>
      <c r="N58" s="64" t="n">
        <f aca="false">IF(D58,(H58-I58)*Inputs!$G$23,0)</f>
        <v>0</v>
      </c>
      <c r="O58" s="64" t="n">
        <f aca="false">AG57</f>
        <v>0</v>
      </c>
      <c r="P58" s="64" t="n">
        <f aca="false">AH57</f>
        <v>256983.980657201</v>
      </c>
      <c r="Q58" s="64" t="n">
        <f aca="false">IF(AND(D58,O58+P58&gt;0),Inputs!$C$25+Inputs!$C$26*H58/4,0)</f>
        <v>100000</v>
      </c>
      <c r="R58" s="64" t="n">
        <f aca="false">O58*IF(Inputs!$G$19="",G58+Inputs!$C$13,MAX(Inputs!$G$19,G58+Inputs!$C$13))*F58</f>
        <v>0</v>
      </c>
      <c r="S58" s="64" t="n">
        <f aca="false">P58*(G58+Inputs!$C$14)*F58</f>
        <v>1921.68151448835</v>
      </c>
      <c r="T58" s="64" t="n">
        <f aca="false">N58+M58-Q58-R58-S58</f>
        <v>-99320.9274904288</v>
      </c>
      <c r="U58" s="64" t="n">
        <f aca="false">W57</f>
        <v>260422.420657149</v>
      </c>
      <c r="V58" s="64" t="n">
        <f aca="false">MIN(U58+I58,MAX(T58,0))</f>
        <v>0</v>
      </c>
      <c r="W58" s="64" t="n">
        <f aca="false">U58+I58-V58</f>
        <v>260422.420657149</v>
      </c>
      <c r="X58" s="64" t="n">
        <f aca="false">K58+L58+V58+IF(E58,H58-I58-K58-L58,0)</f>
        <v>0</v>
      </c>
      <c r="Y58" s="61" t="b">
        <f aca="false">AND(Inputs!$C$21=1,O58/Inputs!$C$10&lt;=Inputs!$C$22,Inputs!$G$14&lt;Inputs!$C$23,W58&lt;1)</f>
        <v>0</v>
      </c>
      <c r="Z58" s="61" t="b">
        <f aca="false">OR(AND(Inputs!$G$15=1,H58/Inputs!$C$17&lt;=Inputs!$C$24),AND(Inputs!$G$15=2,C58&gt;=Inputs!$G$16))</f>
        <v>0</v>
      </c>
      <c r="AA58" s="61" t="b">
        <f aca="false">OR(AA57,Z58)</f>
        <v>0</v>
      </c>
      <c r="AB58" s="61" t="b">
        <f aca="false">AND(Z58,NOT(AA57),D58,O58&gt;0)</f>
        <v>0</v>
      </c>
      <c r="AC58" s="63" t="n">
        <f aca="false">IF(AND(Y58,NOT(E58),O58+P58&gt;0),O58/(O58+P58),1)</f>
        <v>1</v>
      </c>
      <c r="AD58" s="64" t="n">
        <f aca="false">IF(AB58,O58,IF(D58,MIN(O58,IF(E58,AC58*X58+BF57,BE58*Inputs!$G$20)),0))</f>
        <v>0</v>
      </c>
      <c r="AE58" s="64" t="n">
        <f aca="false">IF(AB58,P58,IF(D58,MAX(MIN(P58,X58-MIN(O58,AC58*X58)),0),0))</f>
        <v>0</v>
      </c>
      <c r="AF58" s="64" t="n">
        <f aca="false">IF(OR(AB58,E58),0,MAX(H58-I58-K58-L58,0))</f>
        <v>0</v>
      </c>
      <c r="AG58" s="64" t="n">
        <f aca="false">IF(E58,0,O58-AD58)</f>
        <v>0</v>
      </c>
      <c r="AH58" s="64" t="n">
        <f aca="false">IF(OR(AB58,E58),0,P58-AE58)</f>
        <v>256983.980657201</v>
      </c>
      <c r="AI58" s="64" t="n">
        <f aca="false">IF(D58,R58+AD58,0)</f>
        <v>0</v>
      </c>
      <c r="AJ58" s="65" t="n">
        <f aca="false">(C58-Inputs!$G$6)/365</f>
        <v>11.9013698630137</v>
      </c>
      <c r="AK58" s="29" t="n">
        <f aca="false">AG58/Inputs!$C$10</f>
        <v>0</v>
      </c>
      <c r="AL58" s="5"/>
      <c r="AM58" s="66" t="n">
        <f aca="false">F58</f>
        <v>0.252777777777778</v>
      </c>
      <c r="AN58" s="5"/>
      <c r="AO58" s="5" t="n">
        <f aca="false">AO57+LN(1+($G58+AO$7)*$AM58)</f>
        <v>0.30215792034544</v>
      </c>
      <c r="AP58" s="5" t="n">
        <f aca="false">AP57+LN(1+($G58+AP$7)*$AM58)</f>
        <v>0.303356970620847</v>
      </c>
      <c r="AQ58" s="5" t="n">
        <f aca="false">AQ57+LN(1+($G58+AQ$7)*$AM58)</f>
        <v>0.341872007098386</v>
      </c>
      <c r="AR58" s="5" t="n">
        <f aca="false">AR57+LN(1+($G58+AR$7)*$AM58)</f>
        <v>0.343070061899318</v>
      </c>
      <c r="AS58" s="5" t="n">
        <f aca="false">AS57+LN(1+($G58+AS$7)*$AM58)</f>
        <v>0.342307500454375</v>
      </c>
      <c r="AT58" s="5" t="n">
        <f aca="false">AT57+LN(1+($G58+AT$7)*$AM58)</f>
        <v>0.343505544343822</v>
      </c>
      <c r="AU58" s="5" t="n">
        <f aca="false">AU57+LN(1+($G58+AU$7)*$AM58)</f>
        <v>0.3423074074724</v>
      </c>
      <c r="AV58" s="5" t="n">
        <f aca="false">AV57+LN(1+($G58+AV$7)*$AM58)</f>
        <v>0.343505451364175</v>
      </c>
      <c r="AW58" s="5" t="n">
        <f aca="false">AW57+LN(1+($G58+AW$7)*$AM58)</f>
        <v>0.342307407503584</v>
      </c>
      <c r="AX58" s="5" t="n">
        <f aca="false">AX57+LN(1+($G58+AX$7)*$AM58)</f>
        <v>0.343505451395361</v>
      </c>
      <c r="AY58" s="5" t="n">
        <f aca="false">AY57+LN(1+($G58+AY$7)*$AM58)</f>
        <v>0.342307407503578</v>
      </c>
      <c r="AZ58" s="5" t="n">
        <f aca="false">AZ57+LN(1+($G58+AZ$7)*$AM58)</f>
        <v>0.34350545139535</v>
      </c>
      <c r="BA58" s="5" t="n">
        <f aca="false">BA57+LN(1+($G58+BA$7)*$AM58)</f>
        <v>0.342307407503578</v>
      </c>
      <c r="BB58" s="5" t="n">
        <f aca="false">BB57+LN(1+($G58+BB$7)*$AM58)</f>
        <v>0.34350545139535</v>
      </c>
      <c r="BC58" s="5" t="n">
        <f aca="false">BC57+LN(1+($G58+BC$7)*$AM58)</f>
        <v>0.342307407503578</v>
      </c>
      <c r="BD58" s="5" t="n">
        <f aca="false">BD57+LN(1+($G58+BD$7)*$AM58)</f>
        <v>0.34350545139535</v>
      </c>
      <c r="BE58" s="5" t="n">
        <f aca="false">IF(AB58,O58,IF(D58,MIN(O58,AC58*X58+BF57),0))</f>
        <v>0</v>
      </c>
      <c r="BF58" s="5" t="n">
        <f aca="false">IF(OR(AB58,E58),0,BE58-AD58)</f>
        <v>0</v>
      </c>
      <c r="BG58" s="5" t="n">
        <f aca="false">BG57+LN(1+($G58+BG$7)*$AM58)</f>
        <v>0.330325317317784</v>
      </c>
      <c r="BH58" s="5"/>
      <c r="BI58" s="5" t="n">
        <f aca="false">BI57+LN(1+($G58+BI$7)*$AM58)</f>
        <v>0.354286495836191</v>
      </c>
      <c r="BJ58" s="5"/>
      <c r="BK58" s="62" t="n">
        <f aca="false">C58</f>
        <v>50633</v>
      </c>
      <c r="BL58" s="67" t="n">
        <f aca="false">AI58</f>
        <v>0</v>
      </c>
    </row>
    <row r="59" customFormat="false" ht="15" hidden="false" customHeight="true" outlineLevel="0" collapsed="false">
      <c r="A59" s="3" t="n">
        <v>49</v>
      </c>
      <c r="B59" s="38" t="n">
        <f aca="false">EDATE(Inputs!$C$8,3*(A59-1))</f>
        <v>50724</v>
      </c>
      <c r="C59" s="38" t="n">
        <f aca="false">WORKDAY(B59-1,1)</f>
        <v>50724</v>
      </c>
      <c r="D59" s="61" t="b">
        <f aca="false">C59&lt;=Inputs!$C$9</f>
        <v>1</v>
      </c>
      <c r="E59" s="61" t="b">
        <f aca="false">AND(D59,NOT(D60))</f>
        <v>0</v>
      </c>
      <c r="F59" s="63" t="n">
        <f aca="false">(C59-C58)/360</f>
        <v>0.252777777777778</v>
      </c>
      <c r="G59" s="57" t="n">
        <f aca="false">Curve!D52</f>
        <v>0.02252</v>
      </c>
      <c r="H59" s="64" t="n">
        <f aca="false">AF58</f>
        <v>0</v>
      </c>
      <c r="I59" s="64" t="n">
        <f aca="false">IF(D59,H59*Inputs!$G$22,0)</f>
        <v>0</v>
      </c>
      <c r="J59" s="32" t="n">
        <f aca="false">MAX(Inputs!$G$24-(A59-1),1)</f>
        <v>1</v>
      </c>
      <c r="K59" s="64" t="n">
        <f aca="false">IF(D59,MIN(H59-I59,IF(J59&gt;1,(H59-I59)*Inputs!$G$23/((1+Inputs!$G$23)^J59-1),H59-I59)),0)</f>
        <v>0</v>
      </c>
      <c r="L59" s="64" t="n">
        <f aca="false">IF(D59,(H59-I59-K59)*Inputs!$G$21,0)</f>
        <v>0</v>
      </c>
      <c r="M59" s="64" t="n">
        <f aca="false">IF(A59&gt;Inputs!$G$13,(1-Inputs!$G$12)*INDEX($I$11:$I$190,A59-Inputs!$G$13),0)</f>
        <v>2190.46559667527</v>
      </c>
      <c r="N59" s="64" t="n">
        <f aca="false">IF(D59,(H59-I59)*Inputs!$G$23,0)</f>
        <v>0</v>
      </c>
      <c r="O59" s="64" t="n">
        <f aca="false">AG58</f>
        <v>0</v>
      </c>
      <c r="P59" s="64" t="n">
        <f aca="false">AH58</f>
        <v>256983.980657201</v>
      </c>
      <c r="Q59" s="64" t="n">
        <f aca="false">IF(AND(D59,O59+P59&gt;0),Inputs!$C$25+Inputs!$C$26*H59/4,0)</f>
        <v>100000</v>
      </c>
      <c r="R59" s="64" t="n">
        <f aca="false">O59*IF(Inputs!$G$19="",G59+Inputs!$C$13,MAX(Inputs!$G$19,G59+Inputs!$C$13))*F59</f>
        <v>0</v>
      </c>
      <c r="S59" s="64" t="n">
        <f aca="false">P59*(G59+Inputs!$C$14)*F59</f>
        <v>1921.68151448835</v>
      </c>
      <c r="T59" s="64" t="n">
        <f aca="false">N59+M59-Q59-R59-S59</f>
        <v>-99731.2159178131</v>
      </c>
      <c r="U59" s="64" t="n">
        <f aca="false">W58</f>
        <v>260422.420657149</v>
      </c>
      <c r="V59" s="64" t="n">
        <f aca="false">MIN(U59+I59,MAX(T59,0))</f>
        <v>0</v>
      </c>
      <c r="W59" s="64" t="n">
        <f aca="false">U59+I59-V59</f>
        <v>260422.420657149</v>
      </c>
      <c r="X59" s="64" t="n">
        <f aca="false">K59+L59+V59+IF(E59,H59-I59-K59-L59,0)</f>
        <v>0</v>
      </c>
      <c r="Y59" s="61" t="b">
        <f aca="false">AND(Inputs!$C$21=1,O59/Inputs!$C$10&lt;=Inputs!$C$22,Inputs!$G$14&lt;Inputs!$C$23,W59&lt;1)</f>
        <v>0</v>
      </c>
      <c r="Z59" s="61" t="b">
        <f aca="false">OR(AND(Inputs!$G$15=1,H59/Inputs!$C$17&lt;=Inputs!$C$24),AND(Inputs!$G$15=2,C59&gt;=Inputs!$G$16))</f>
        <v>0</v>
      </c>
      <c r="AA59" s="61" t="b">
        <f aca="false">OR(AA58,Z59)</f>
        <v>0</v>
      </c>
      <c r="AB59" s="61" t="b">
        <f aca="false">AND(Z59,NOT(AA58),D59,O59&gt;0)</f>
        <v>0</v>
      </c>
      <c r="AC59" s="63" t="n">
        <f aca="false">IF(AND(Y59,NOT(E59),O59+P59&gt;0),O59/(O59+P59),1)</f>
        <v>1</v>
      </c>
      <c r="AD59" s="64" t="n">
        <f aca="false">IF(AB59,O59,IF(D59,MIN(O59,IF(E59,AC59*X59+BF58,BE59*Inputs!$G$20)),0))</f>
        <v>0</v>
      </c>
      <c r="AE59" s="64" t="n">
        <f aca="false">IF(AB59,P59,IF(D59,MAX(MIN(P59,X59-MIN(O59,AC59*X59)),0),0))</f>
        <v>0</v>
      </c>
      <c r="AF59" s="64" t="n">
        <f aca="false">IF(OR(AB59,E59),0,MAX(H59-I59-K59-L59,0))</f>
        <v>0</v>
      </c>
      <c r="AG59" s="64" t="n">
        <f aca="false">IF(E59,0,O59-AD59)</f>
        <v>0</v>
      </c>
      <c r="AH59" s="64" t="n">
        <f aca="false">IF(OR(AB59,E59),0,P59-AE59)</f>
        <v>256983.980657201</v>
      </c>
      <c r="AI59" s="64" t="n">
        <f aca="false">IF(D59,R59+AD59,0)</f>
        <v>0</v>
      </c>
      <c r="AJ59" s="65" t="n">
        <f aca="false">(C59-Inputs!$G$6)/365</f>
        <v>12.1506849315068</v>
      </c>
      <c r="AK59" s="29" t="n">
        <f aca="false">AG59/Inputs!$C$10</f>
        <v>0</v>
      </c>
      <c r="AL59" s="5"/>
      <c r="AM59" s="66" t="n">
        <f aca="false">F59</f>
        <v>0.252777777777778</v>
      </c>
      <c r="AN59" s="5"/>
      <c r="AO59" s="5" t="n">
        <f aca="false">AO58+LN(1+($G59+AO$7)*$AM59)</f>
        <v>0.30848762322027</v>
      </c>
      <c r="AP59" s="5" t="n">
        <f aca="false">AP58+LN(1+($G59+AP$7)*$AM59)</f>
        <v>0.309711791462485</v>
      </c>
      <c r="AQ59" s="5" t="n">
        <f aca="false">AQ58+LN(1+($G59+AQ$7)*$AM59)</f>
        <v>0.349033648778068</v>
      </c>
      <c r="AR59" s="5" t="n">
        <f aca="false">AR58+LN(1+($G59+AR$7)*$AM59)</f>
        <v>0.35025680065815</v>
      </c>
      <c r="AS59" s="5" t="n">
        <f aca="false">AS58+LN(1+($G59+AS$7)*$AM59)</f>
        <v>0.349478264931578</v>
      </c>
      <c r="AT59" s="5" t="n">
        <f aca="false">AT58+LN(1+($G59+AT$7)*$AM59)</f>
        <v>0.350701405671223</v>
      </c>
      <c r="AU59" s="5" t="n">
        <f aca="false">AU58+LN(1+($G59+AU$7)*$AM59)</f>
        <v>0.349478170001799</v>
      </c>
      <c r="AV59" s="5" t="n">
        <f aca="false">AV58+LN(1+($G59+AV$7)*$AM59)</f>
        <v>0.350701310743821</v>
      </c>
      <c r="AW59" s="5" t="n">
        <f aca="false">AW58+LN(1+($G59+AW$7)*$AM59)</f>
        <v>0.349478170033636</v>
      </c>
      <c r="AX59" s="5" t="n">
        <f aca="false">AX58+LN(1+($G59+AX$7)*$AM59)</f>
        <v>0.35070131077566</v>
      </c>
      <c r="AY59" s="5" t="n">
        <f aca="false">AY58+LN(1+($G59+AY$7)*$AM59)</f>
        <v>0.34947817003363</v>
      </c>
      <c r="AZ59" s="5" t="n">
        <f aca="false">AZ58+LN(1+($G59+AZ$7)*$AM59)</f>
        <v>0.350701310775649</v>
      </c>
      <c r="BA59" s="5" t="n">
        <f aca="false">BA58+LN(1+($G59+BA$7)*$AM59)</f>
        <v>0.34947817003363</v>
      </c>
      <c r="BB59" s="5" t="n">
        <f aca="false">BB58+LN(1+($G59+BB$7)*$AM59)</f>
        <v>0.350701310775649</v>
      </c>
      <c r="BC59" s="5" t="n">
        <f aca="false">BC58+LN(1+($G59+BC$7)*$AM59)</f>
        <v>0.34947817003363</v>
      </c>
      <c r="BD59" s="5" t="n">
        <f aca="false">BD58+LN(1+($G59+BD$7)*$AM59)</f>
        <v>0.350701310775649</v>
      </c>
      <c r="BE59" s="5" t="n">
        <f aca="false">IF(AB59,O59,IF(D59,MIN(O59,AC59*X59+BF58),0))</f>
        <v>0</v>
      </c>
      <c r="BF59" s="5" t="n">
        <f aca="false">IF(OR(AB59,E59),0,BE59-AD59)</f>
        <v>0</v>
      </c>
      <c r="BG59" s="5" t="n">
        <f aca="false">BG58+LN(1+($G59+BG$7)*$AM59)</f>
        <v>0.337245076697431</v>
      </c>
      <c r="BH59" s="5"/>
      <c r="BI59" s="5" t="n">
        <f aca="false">BI58+LN(1+($G59+BI$7)*$AM59)</f>
        <v>0.361708198529876</v>
      </c>
      <c r="BJ59" s="5"/>
      <c r="BK59" s="62" t="n">
        <f aca="false">C59</f>
        <v>50724</v>
      </c>
      <c r="BL59" s="67" t="n">
        <f aca="false">AI59</f>
        <v>0</v>
      </c>
    </row>
    <row r="60" customFormat="false" ht="15" hidden="false" customHeight="true" outlineLevel="0" collapsed="false">
      <c r="A60" s="3" t="n">
        <v>50</v>
      </c>
      <c r="B60" s="38" t="n">
        <f aca="false">EDATE(Inputs!$C$8,3*(A60-1))</f>
        <v>50816</v>
      </c>
      <c r="C60" s="38" t="n">
        <f aca="false">WORKDAY(B60-1,1)</f>
        <v>50816</v>
      </c>
      <c r="D60" s="61" t="b">
        <f aca="false">C60&lt;=Inputs!$C$9</f>
        <v>1</v>
      </c>
      <c r="E60" s="61" t="b">
        <f aca="false">AND(D60,NOT(D61))</f>
        <v>0</v>
      </c>
      <c r="F60" s="63" t="n">
        <f aca="false">(C60-C59)/360</f>
        <v>0.255555555555556</v>
      </c>
      <c r="G60" s="57" t="n">
        <f aca="false">Curve!D53</f>
        <v>0.02252</v>
      </c>
      <c r="H60" s="64" t="n">
        <f aca="false">AF59</f>
        <v>0</v>
      </c>
      <c r="I60" s="64" t="n">
        <f aca="false">IF(D60,H60*Inputs!$G$22,0)</f>
        <v>0</v>
      </c>
      <c r="J60" s="32" t="n">
        <f aca="false">MAX(Inputs!$G$24-(A60-1),1)</f>
        <v>1</v>
      </c>
      <c r="K60" s="64" t="n">
        <f aca="false">IF(D60,MIN(H60-I60,IF(J60&gt;1,(H60-I60)*Inputs!$G$23/((1+Inputs!$G$23)^J60-1),H60-I60)),0)</f>
        <v>0</v>
      </c>
      <c r="L60" s="64" t="n">
        <f aca="false">IF(D60,(H60-I60-K60)*Inputs!$G$21,0)</f>
        <v>0</v>
      </c>
      <c r="M60" s="64" t="n">
        <f aca="false">IF(A60&gt;Inputs!$G$13,(1-Inputs!$G$12)*INDEX($I$11:$I$190,A60-Inputs!$G$13),0)</f>
        <v>1785.9094252933</v>
      </c>
      <c r="N60" s="64" t="n">
        <f aca="false">IF(D60,(H60-I60)*Inputs!$G$23,0)</f>
        <v>0</v>
      </c>
      <c r="O60" s="64" t="n">
        <f aca="false">AG59</f>
        <v>0</v>
      </c>
      <c r="P60" s="64" t="n">
        <f aca="false">AH59</f>
        <v>256983.980657201</v>
      </c>
      <c r="Q60" s="64" t="n">
        <f aca="false">IF(AND(D60,O60+P60&gt;0),Inputs!$C$25+Inputs!$C$26*H60/4,0)</f>
        <v>100000</v>
      </c>
      <c r="R60" s="64" t="n">
        <f aca="false">O60*IF(Inputs!$G$19="",G60+Inputs!$C$13,MAX(Inputs!$G$19,G60+Inputs!$C$13))*F60</f>
        <v>0</v>
      </c>
      <c r="S60" s="64" t="n">
        <f aca="false">P60*(G60+Inputs!$C$14)*F60</f>
        <v>1942.79889376844</v>
      </c>
      <c r="T60" s="64" t="n">
        <f aca="false">N60+M60-Q60-R60-S60</f>
        <v>-100156.889468475</v>
      </c>
      <c r="U60" s="64" t="n">
        <f aca="false">W59</f>
        <v>260422.420657149</v>
      </c>
      <c r="V60" s="64" t="n">
        <f aca="false">MIN(U60+I60,MAX(T60,0))</f>
        <v>0</v>
      </c>
      <c r="W60" s="64" t="n">
        <f aca="false">U60+I60-V60</f>
        <v>260422.420657149</v>
      </c>
      <c r="X60" s="64" t="n">
        <f aca="false">K60+L60+V60+IF(E60,H60-I60-K60-L60,0)</f>
        <v>0</v>
      </c>
      <c r="Y60" s="61" t="b">
        <f aca="false">AND(Inputs!$C$21=1,O60/Inputs!$C$10&lt;=Inputs!$C$22,Inputs!$G$14&lt;Inputs!$C$23,W60&lt;1)</f>
        <v>0</v>
      </c>
      <c r="Z60" s="61" t="b">
        <f aca="false">OR(AND(Inputs!$G$15=1,H60/Inputs!$C$17&lt;=Inputs!$C$24),AND(Inputs!$G$15=2,C60&gt;=Inputs!$G$16))</f>
        <v>0</v>
      </c>
      <c r="AA60" s="61" t="b">
        <f aca="false">OR(AA59,Z60)</f>
        <v>0</v>
      </c>
      <c r="AB60" s="61" t="b">
        <f aca="false">AND(Z60,NOT(AA59),D60,O60&gt;0)</f>
        <v>0</v>
      </c>
      <c r="AC60" s="63" t="n">
        <f aca="false">IF(AND(Y60,NOT(E60),O60+P60&gt;0),O60/(O60+P60),1)</f>
        <v>1</v>
      </c>
      <c r="AD60" s="64" t="n">
        <f aca="false">IF(AB60,O60,IF(D60,MIN(O60,IF(E60,AC60*X60+BF59,BE60*Inputs!$G$20)),0))</f>
        <v>0</v>
      </c>
      <c r="AE60" s="64" t="n">
        <f aca="false">IF(AB60,P60,IF(D60,MAX(MIN(P60,X60-MIN(O60,AC60*X60)),0),0))</f>
        <v>0</v>
      </c>
      <c r="AF60" s="64" t="n">
        <f aca="false">IF(OR(AB60,E60),0,MAX(H60-I60-K60-L60,0))</f>
        <v>0</v>
      </c>
      <c r="AG60" s="64" t="n">
        <f aca="false">IF(E60,0,O60-AD60)</f>
        <v>0</v>
      </c>
      <c r="AH60" s="64" t="n">
        <f aca="false">IF(OR(AB60,E60),0,P60-AE60)</f>
        <v>256983.980657201</v>
      </c>
      <c r="AI60" s="64" t="n">
        <f aca="false">IF(D60,R60+AD60,0)</f>
        <v>0</v>
      </c>
      <c r="AJ60" s="65" t="n">
        <f aca="false">(C60-Inputs!$G$6)/365</f>
        <v>12.4027397260274</v>
      </c>
      <c r="AK60" s="29" t="n">
        <f aca="false">AG60/Inputs!$C$10</f>
        <v>0</v>
      </c>
      <c r="AL60" s="5"/>
      <c r="AM60" s="66" t="n">
        <f aca="false">F60</f>
        <v>0.255555555555556</v>
      </c>
      <c r="AN60" s="5"/>
      <c r="AO60" s="5" t="n">
        <f aca="false">AO59+LN(1+($G60+AO$7)*$AM60)</f>
        <v>0.314886661191428</v>
      </c>
      <c r="AP60" s="5" t="n">
        <f aca="false">AP59+LN(1+($G60+AP$7)*$AM60)</f>
        <v>0.316136221657949</v>
      </c>
      <c r="AQ60" s="5" t="n">
        <f aca="false">AQ59+LN(1+($G60+AQ$7)*$AM60)</f>
        <v>0.356273705605549</v>
      </c>
      <c r="AR60" s="5" t="n">
        <f aca="false">AR59+LN(1+($G60+AR$7)*$AM60)</f>
        <v>0.357522228363846</v>
      </c>
      <c r="AS60" s="5" t="n">
        <f aca="false">AS59+LN(1+($G60+AS$7)*$AM60)</f>
        <v>0.356727544083445</v>
      </c>
      <c r="AT60" s="5" t="n">
        <f aca="false">AT59+LN(1+($G60+AT$7)*$AM60)</f>
        <v>0.357976055467329</v>
      </c>
      <c r="AU60" s="5" t="n">
        <f aca="false">AU59+LN(1+($G60+AU$7)*$AM60)</f>
        <v>0.356727447184611</v>
      </c>
      <c r="AV60" s="5" t="n">
        <f aca="false">AV59+LN(1+($G60+AV$7)*$AM60)</f>
        <v>0.357975958570924</v>
      </c>
      <c r="AW60" s="5" t="n">
        <f aca="false">AW59+LN(1+($G60+AW$7)*$AM60)</f>
        <v>0.356727447217109</v>
      </c>
      <c r="AX60" s="5" t="n">
        <f aca="false">AX59+LN(1+($G60+AX$7)*$AM60)</f>
        <v>0.357975958603423</v>
      </c>
      <c r="AY60" s="5" t="n">
        <f aca="false">AY59+LN(1+($G60+AY$7)*$AM60)</f>
        <v>0.356727447217103</v>
      </c>
      <c r="AZ60" s="5" t="n">
        <f aca="false">AZ59+LN(1+($G60+AZ$7)*$AM60)</f>
        <v>0.357975958603412</v>
      </c>
      <c r="BA60" s="5" t="n">
        <f aca="false">BA59+LN(1+($G60+BA$7)*$AM60)</f>
        <v>0.356727447217103</v>
      </c>
      <c r="BB60" s="5" t="n">
        <f aca="false">BB59+LN(1+($G60+BB$7)*$AM60)</f>
        <v>0.357975958603412</v>
      </c>
      <c r="BC60" s="5" t="n">
        <f aca="false">BC59+LN(1+($G60+BC$7)*$AM60)</f>
        <v>0.356727447217103</v>
      </c>
      <c r="BD60" s="5" t="n">
        <f aca="false">BD59+LN(1+($G60+BD$7)*$AM60)</f>
        <v>0.357975958603412</v>
      </c>
      <c r="BE60" s="5" t="n">
        <f aca="false">IF(AB60,O60,IF(D60,MIN(O60,AC60*X60+BF59),0))</f>
        <v>0</v>
      </c>
      <c r="BF60" s="5" t="n">
        <f aca="false">IF(OR(AB60,E60),0,BE60-AD60)</f>
        <v>0</v>
      </c>
      <c r="BG60" s="5" t="n">
        <f aca="false">BG59+LN(1+($G60+BG$7)*$AM60)</f>
        <v>0.344240612029882</v>
      </c>
      <c r="BH60" s="5"/>
      <c r="BI60" s="5" t="n">
        <f aca="false">BI59+LN(1+($G60+BI$7)*$AM60)</f>
        <v>0.369211153195776</v>
      </c>
      <c r="BJ60" s="5"/>
      <c r="BK60" s="62" t="n">
        <f aca="false">C60</f>
        <v>50816</v>
      </c>
      <c r="BL60" s="67" t="n">
        <f aca="false">AI60</f>
        <v>0</v>
      </c>
    </row>
    <row r="61" customFormat="false" ht="15" hidden="false" customHeight="true" outlineLevel="0" collapsed="false">
      <c r="A61" s="3" t="n">
        <v>51</v>
      </c>
      <c r="B61" s="38" t="n">
        <f aca="false">EDATE(Inputs!$C$8,3*(A61-1))</f>
        <v>50905</v>
      </c>
      <c r="C61" s="38" t="n">
        <f aca="false">WORKDAY(B61-1,1)</f>
        <v>50906</v>
      </c>
      <c r="D61" s="61" t="b">
        <f aca="false">C61&lt;=Inputs!$C$9</f>
        <v>1</v>
      </c>
      <c r="E61" s="61" t="b">
        <f aca="false">AND(D61,NOT(D62))</f>
        <v>0</v>
      </c>
      <c r="F61" s="63" t="n">
        <f aca="false">(C61-C60)/360</f>
        <v>0.25</v>
      </c>
      <c r="G61" s="57" t="n">
        <f aca="false">Curve!D54</f>
        <v>0.02252</v>
      </c>
      <c r="H61" s="64" t="n">
        <f aca="false">AF60</f>
        <v>0</v>
      </c>
      <c r="I61" s="64" t="n">
        <f aca="false">IF(D61,H61*Inputs!$G$22,0)</f>
        <v>0</v>
      </c>
      <c r="J61" s="32" t="n">
        <f aca="false">MAX(Inputs!$G$24-(A61-1),1)</f>
        <v>1</v>
      </c>
      <c r="K61" s="64" t="n">
        <f aca="false">IF(D61,MIN(H61-I61,IF(J61&gt;1,(H61-I61)*Inputs!$G$23/((1+Inputs!$G$23)^J61-1),H61-I61)),0)</f>
        <v>0</v>
      </c>
      <c r="L61" s="64" t="n">
        <f aca="false">IF(D61,(H61-I61-K61)*Inputs!$G$21,0)</f>
        <v>0</v>
      </c>
      <c r="M61" s="64" t="n">
        <f aca="false">IF(A61&gt;Inputs!$G$13,(1-Inputs!$G$12)*INDEX($I$11:$I$190,A61-Inputs!$G$13),0)</f>
        <v>1387.01849769133</v>
      </c>
      <c r="N61" s="64" t="n">
        <f aca="false">IF(D61,(H61-I61)*Inputs!$G$23,0)</f>
        <v>0</v>
      </c>
      <c r="O61" s="64" t="n">
        <f aca="false">AG60</f>
        <v>0</v>
      </c>
      <c r="P61" s="64" t="n">
        <f aca="false">AH60</f>
        <v>256983.980657201</v>
      </c>
      <c r="Q61" s="64" t="n">
        <f aca="false">IF(AND(D61,O61+P61&gt;0),Inputs!$C$25+Inputs!$C$26*H61/4,0)</f>
        <v>100000</v>
      </c>
      <c r="R61" s="64" t="n">
        <f aca="false">O61*IF(Inputs!$G$19="",G61+Inputs!$C$13,MAX(Inputs!$G$19,G61+Inputs!$C$13))*F61</f>
        <v>0</v>
      </c>
      <c r="S61" s="64" t="n">
        <f aca="false">P61*(G61+Inputs!$C$14)*F61</f>
        <v>1900.56413520826</v>
      </c>
      <c r="T61" s="64" t="n">
        <f aca="false">N61+M61-Q61-R61-S61</f>
        <v>-100513.545637517</v>
      </c>
      <c r="U61" s="64" t="n">
        <f aca="false">W60</f>
        <v>260422.420657149</v>
      </c>
      <c r="V61" s="64" t="n">
        <f aca="false">MIN(U61+I61,MAX(T61,0))</f>
        <v>0</v>
      </c>
      <c r="W61" s="64" t="n">
        <f aca="false">U61+I61-V61</f>
        <v>260422.420657149</v>
      </c>
      <c r="X61" s="64" t="n">
        <f aca="false">K61+L61+V61+IF(E61,H61-I61-K61-L61,0)</f>
        <v>0</v>
      </c>
      <c r="Y61" s="61" t="b">
        <f aca="false">AND(Inputs!$C$21=1,O61/Inputs!$C$10&lt;=Inputs!$C$22,Inputs!$G$14&lt;Inputs!$C$23,W61&lt;1)</f>
        <v>0</v>
      </c>
      <c r="Z61" s="61" t="b">
        <f aca="false">OR(AND(Inputs!$G$15=1,H61/Inputs!$C$17&lt;=Inputs!$C$24),AND(Inputs!$G$15=2,C61&gt;=Inputs!$G$16))</f>
        <v>0</v>
      </c>
      <c r="AA61" s="61" t="b">
        <f aca="false">OR(AA60,Z61)</f>
        <v>0</v>
      </c>
      <c r="AB61" s="61" t="b">
        <f aca="false">AND(Z61,NOT(AA60),D61,O61&gt;0)</f>
        <v>0</v>
      </c>
      <c r="AC61" s="63" t="n">
        <f aca="false">IF(AND(Y61,NOT(E61),O61+P61&gt;0),O61/(O61+P61),1)</f>
        <v>1</v>
      </c>
      <c r="AD61" s="64" t="n">
        <f aca="false">IF(AB61,O61,IF(D61,MIN(O61,IF(E61,AC61*X61+BF60,BE61*Inputs!$G$20)),0))</f>
        <v>0</v>
      </c>
      <c r="AE61" s="64" t="n">
        <f aca="false">IF(AB61,P61,IF(D61,MAX(MIN(P61,X61-MIN(O61,AC61*X61)),0),0))</f>
        <v>0</v>
      </c>
      <c r="AF61" s="64" t="n">
        <f aca="false">IF(OR(AB61,E61),0,MAX(H61-I61-K61-L61,0))</f>
        <v>0</v>
      </c>
      <c r="AG61" s="64" t="n">
        <f aca="false">IF(E61,0,O61-AD61)</f>
        <v>0</v>
      </c>
      <c r="AH61" s="64" t="n">
        <f aca="false">IF(OR(AB61,E61),0,P61-AE61)</f>
        <v>256983.980657201</v>
      </c>
      <c r="AI61" s="64" t="n">
        <f aca="false">IF(D61,R61+AD61,0)</f>
        <v>0</v>
      </c>
      <c r="AJ61" s="65" t="n">
        <f aca="false">(C61-Inputs!$G$6)/365</f>
        <v>12.6493150684932</v>
      </c>
      <c r="AK61" s="29" t="n">
        <f aca="false">AG61/Inputs!$C$10</f>
        <v>0</v>
      </c>
      <c r="AL61" s="5"/>
      <c r="AM61" s="66" t="n">
        <f aca="false">F61</f>
        <v>0.25</v>
      </c>
      <c r="AN61" s="5"/>
      <c r="AO61" s="5" t="n">
        <f aca="false">AO60+LN(1+($G61+AO$7)*$AM61)</f>
        <v>0.321147024162242</v>
      </c>
      <c r="AP61" s="5" t="n">
        <f aca="false">AP60+LN(1+($G61+AP$7)*$AM61)</f>
        <v>0.322421428299963</v>
      </c>
      <c r="AQ61" s="5" t="n">
        <f aca="false">AQ60+LN(1+($G61+AQ$7)*$AM61)</f>
        <v>0.363356925988016</v>
      </c>
      <c r="AR61" s="5" t="n">
        <f aca="false">AR60+LN(1+($G61+AR$7)*$AM61)</f>
        <v>0.364630271983376</v>
      </c>
      <c r="AS61" s="5" t="n">
        <f aca="false">AS60+LN(1+($G61+AS$7)*$AM61)</f>
        <v>0.363819787720947</v>
      </c>
      <c r="AT61" s="5" t="n">
        <f aca="false">AT60+LN(1+($G61+AT$7)*$AM61)</f>
        <v>0.365093122117912</v>
      </c>
      <c r="AU61" s="5" t="n">
        <f aca="false">AU60+LN(1+($G61+AU$7)*$AM61)</f>
        <v>0.363819688895562</v>
      </c>
      <c r="AV61" s="5" t="n">
        <f aca="false">AV60+LN(1+($G61+AV$7)*$AM61)</f>
        <v>0.365093023295004</v>
      </c>
      <c r="AW61" s="5" t="n">
        <f aca="false">AW60+LN(1+($G61+AW$7)*$AM61)</f>
        <v>0.363819688928706</v>
      </c>
      <c r="AX61" s="5" t="n">
        <f aca="false">AX60+LN(1+($G61+AX$7)*$AM61)</f>
        <v>0.365093023328149</v>
      </c>
      <c r="AY61" s="5" t="n">
        <f aca="false">AY60+LN(1+($G61+AY$7)*$AM61)</f>
        <v>0.3638196889287</v>
      </c>
      <c r="AZ61" s="5" t="n">
        <f aca="false">AZ60+LN(1+($G61+AZ$7)*$AM61)</f>
        <v>0.365093023328138</v>
      </c>
      <c r="BA61" s="5" t="n">
        <f aca="false">BA60+LN(1+($G61+BA$7)*$AM61)</f>
        <v>0.3638196889287</v>
      </c>
      <c r="BB61" s="5" t="n">
        <f aca="false">BB60+LN(1+($G61+BB$7)*$AM61)</f>
        <v>0.365093023328138</v>
      </c>
      <c r="BC61" s="5" t="n">
        <f aca="false">BC60+LN(1+($G61+BC$7)*$AM61)</f>
        <v>0.3638196889287</v>
      </c>
      <c r="BD61" s="5" t="n">
        <f aca="false">BD60+LN(1+($G61+BD$7)*$AM61)</f>
        <v>0.365093023328138</v>
      </c>
      <c r="BE61" s="5" t="n">
        <f aca="false">IF(AB61,O61,IF(D61,MIN(O61,AC61*X61+BF60),0))</f>
        <v>0</v>
      </c>
      <c r="BF61" s="5" t="n">
        <f aca="false">IF(OR(AB61,E61),0,BE61-AD61)</f>
        <v>0</v>
      </c>
      <c r="BG61" s="5" t="n">
        <f aca="false">BG60+LN(1+($G61+BG$7)*$AM61)</f>
        <v>0.351084589714294</v>
      </c>
      <c r="BH61" s="5"/>
      <c r="BI61" s="5" t="n">
        <f aca="false">BI60+LN(1+($G61+BI$7)*$AM61)</f>
        <v>0.376551597314828</v>
      </c>
      <c r="BJ61" s="5"/>
      <c r="BK61" s="62" t="n">
        <f aca="false">C61</f>
        <v>50906</v>
      </c>
      <c r="BL61" s="67" t="n">
        <f aca="false">AI61</f>
        <v>0</v>
      </c>
    </row>
    <row r="62" customFormat="false" ht="15" hidden="false" customHeight="true" outlineLevel="0" collapsed="false">
      <c r="A62" s="3" t="n">
        <v>52</v>
      </c>
      <c r="B62" s="38" t="n">
        <f aca="false">EDATE(Inputs!$C$8,3*(A62-1))</f>
        <v>50997</v>
      </c>
      <c r="C62" s="38" t="n">
        <f aca="false">WORKDAY(B62-1,1)</f>
        <v>50997</v>
      </c>
      <c r="D62" s="61" t="b">
        <f aca="false">C62&lt;=Inputs!$C$9</f>
        <v>1</v>
      </c>
      <c r="E62" s="61" t="b">
        <f aca="false">AND(D62,NOT(D63))</f>
        <v>0</v>
      </c>
      <c r="F62" s="63" t="n">
        <f aca="false">(C62-C61)/360</f>
        <v>0.252777777777778</v>
      </c>
      <c r="G62" s="57" t="n">
        <f aca="false">Curve!D55</f>
        <v>0.02252</v>
      </c>
      <c r="H62" s="64" t="n">
        <f aca="false">AF61</f>
        <v>0</v>
      </c>
      <c r="I62" s="64" t="n">
        <f aca="false">IF(D62,H62*Inputs!$G$22,0)</f>
        <v>0</v>
      </c>
      <c r="J62" s="32" t="n">
        <f aca="false">MAX(Inputs!$G$24-(A62-1),1)</f>
        <v>1</v>
      </c>
      <c r="K62" s="64" t="n">
        <f aca="false">IF(D62,MIN(H62-I62,IF(J62&gt;1,(H62-I62)*Inputs!$G$23/((1+Inputs!$G$23)^J62-1),H62-I62)),0)</f>
        <v>0</v>
      </c>
      <c r="L62" s="64" t="n">
        <f aca="false">IF(D62,(H62-I62-K62)*Inputs!$G$21,0)</f>
        <v>0</v>
      </c>
      <c r="M62" s="64" t="n">
        <f aca="false">IF(A62&gt;Inputs!$G$13,(1-Inputs!$G$12)*INDEX($I$11:$I$190,A62-Inputs!$G$13),0)</f>
        <v>993.726552324982</v>
      </c>
      <c r="N62" s="64" t="n">
        <f aca="false">IF(D62,(H62-I62)*Inputs!$G$23,0)</f>
        <v>0</v>
      </c>
      <c r="O62" s="64" t="n">
        <f aca="false">AG61</f>
        <v>0</v>
      </c>
      <c r="P62" s="64" t="n">
        <f aca="false">AH61</f>
        <v>256983.980657201</v>
      </c>
      <c r="Q62" s="64" t="n">
        <f aca="false">IF(AND(D62,O62+P62&gt;0),Inputs!$C$25+Inputs!$C$26*H62/4,0)</f>
        <v>100000</v>
      </c>
      <c r="R62" s="64" t="n">
        <f aca="false">O62*IF(Inputs!$G$19="",G62+Inputs!$C$13,MAX(Inputs!$G$19,G62+Inputs!$C$13))*F62</f>
        <v>0</v>
      </c>
      <c r="S62" s="64" t="n">
        <f aca="false">P62*(G62+Inputs!$C$14)*F62</f>
        <v>1921.68151448835</v>
      </c>
      <c r="T62" s="64" t="n">
        <f aca="false">N62+M62-Q62-R62-S62</f>
        <v>-100927.954962163</v>
      </c>
      <c r="U62" s="64" t="n">
        <f aca="false">W61</f>
        <v>260422.420657149</v>
      </c>
      <c r="V62" s="64" t="n">
        <f aca="false">MIN(U62+I62,MAX(T62,0))</f>
        <v>0</v>
      </c>
      <c r="W62" s="64" t="n">
        <f aca="false">U62+I62-V62</f>
        <v>260422.420657149</v>
      </c>
      <c r="X62" s="64" t="n">
        <f aca="false">K62+L62+V62+IF(E62,H62-I62-K62-L62,0)</f>
        <v>0</v>
      </c>
      <c r="Y62" s="61" t="b">
        <f aca="false">AND(Inputs!$C$21=1,O62/Inputs!$C$10&lt;=Inputs!$C$22,Inputs!$G$14&lt;Inputs!$C$23,W62&lt;1)</f>
        <v>0</v>
      </c>
      <c r="Z62" s="61" t="b">
        <f aca="false">OR(AND(Inputs!$G$15=1,H62/Inputs!$C$17&lt;=Inputs!$C$24),AND(Inputs!$G$15=2,C62&gt;=Inputs!$G$16))</f>
        <v>0</v>
      </c>
      <c r="AA62" s="61" t="b">
        <f aca="false">OR(AA61,Z62)</f>
        <v>0</v>
      </c>
      <c r="AB62" s="61" t="b">
        <f aca="false">AND(Z62,NOT(AA61),D62,O62&gt;0)</f>
        <v>0</v>
      </c>
      <c r="AC62" s="63" t="n">
        <f aca="false">IF(AND(Y62,NOT(E62),O62+P62&gt;0),O62/(O62+P62),1)</f>
        <v>1</v>
      </c>
      <c r="AD62" s="64" t="n">
        <f aca="false">IF(AB62,O62,IF(D62,MIN(O62,IF(E62,AC62*X62+BF61,BE62*Inputs!$G$20)),0))</f>
        <v>0</v>
      </c>
      <c r="AE62" s="64" t="n">
        <f aca="false">IF(AB62,P62,IF(D62,MAX(MIN(P62,X62-MIN(O62,AC62*X62)),0),0))</f>
        <v>0</v>
      </c>
      <c r="AF62" s="64" t="n">
        <f aca="false">IF(OR(AB62,E62),0,MAX(H62-I62-K62-L62,0))</f>
        <v>0</v>
      </c>
      <c r="AG62" s="64" t="n">
        <f aca="false">IF(E62,0,O62-AD62)</f>
        <v>0</v>
      </c>
      <c r="AH62" s="64" t="n">
        <f aca="false">IF(OR(AB62,E62),0,P62-AE62)</f>
        <v>256983.980657201</v>
      </c>
      <c r="AI62" s="64" t="n">
        <f aca="false">IF(D62,R62+AD62,0)</f>
        <v>0</v>
      </c>
      <c r="AJ62" s="65" t="n">
        <f aca="false">(C62-Inputs!$G$6)/365</f>
        <v>12.8986301369863</v>
      </c>
      <c r="AK62" s="29" t="n">
        <f aca="false">AG62/Inputs!$C$10</f>
        <v>0</v>
      </c>
      <c r="AL62" s="5"/>
      <c r="AM62" s="66" t="n">
        <f aca="false">F62</f>
        <v>0.252777777777778</v>
      </c>
      <c r="AN62" s="5"/>
      <c r="AO62" s="5" t="n">
        <f aca="false">AO61+LN(1+($G62+AO$7)*$AM62)</f>
        <v>0.327476727037072</v>
      </c>
      <c r="AP62" s="5" t="n">
        <f aca="false">AP61+LN(1+($G62+AP$7)*$AM62)</f>
        <v>0.328776249141601</v>
      </c>
      <c r="AQ62" s="5" t="n">
        <f aca="false">AQ61+LN(1+($G62+AQ$7)*$AM62)</f>
        <v>0.370518567667699</v>
      </c>
      <c r="AR62" s="5" t="n">
        <f aca="false">AR61+LN(1+($G62+AR$7)*$AM62)</f>
        <v>0.371817010742208</v>
      </c>
      <c r="AS62" s="5" t="n">
        <f aca="false">AS61+LN(1+($G62+AS$7)*$AM62)</f>
        <v>0.37099055219815</v>
      </c>
      <c r="AT62" s="5" t="n">
        <f aca="false">AT61+LN(1+($G62+AT$7)*$AM62)</f>
        <v>0.372288983445313</v>
      </c>
      <c r="AU62" s="5" t="n">
        <f aca="false">AU61+LN(1+($G62+AU$7)*$AM62)</f>
        <v>0.370990451424961</v>
      </c>
      <c r="AV62" s="5" t="n">
        <f aca="false">AV61+LN(1+($G62+AV$7)*$AM62)</f>
        <v>0.372288882674649</v>
      </c>
      <c r="AW62" s="5" t="n">
        <f aca="false">AW61+LN(1+($G62+AW$7)*$AM62)</f>
        <v>0.370990451458759</v>
      </c>
      <c r="AX62" s="5" t="n">
        <f aca="false">AX61+LN(1+($G62+AX$7)*$AM62)</f>
        <v>0.372288882708448</v>
      </c>
      <c r="AY62" s="5" t="n">
        <f aca="false">AY61+LN(1+($G62+AY$7)*$AM62)</f>
        <v>0.370990451458752</v>
      </c>
      <c r="AZ62" s="5" t="n">
        <f aca="false">AZ61+LN(1+($G62+AZ$7)*$AM62)</f>
        <v>0.372288882708436</v>
      </c>
      <c r="BA62" s="5" t="n">
        <f aca="false">BA61+LN(1+($G62+BA$7)*$AM62)</f>
        <v>0.370990451458752</v>
      </c>
      <c r="BB62" s="5" t="n">
        <f aca="false">BB61+LN(1+($G62+BB$7)*$AM62)</f>
        <v>0.372288882708436</v>
      </c>
      <c r="BC62" s="5" t="n">
        <f aca="false">BC61+LN(1+($G62+BC$7)*$AM62)</f>
        <v>0.370990451458752</v>
      </c>
      <c r="BD62" s="5" t="n">
        <f aca="false">BD61+LN(1+($G62+BD$7)*$AM62)</f>
        <v>0.372288882708436</v>
      </c>
      <c r="BE62" s="5" t="n">
        <f aca="false">IF(AB62,O62,IF(D62,MIN(O62,AC62*X62+BF61),0))</f>
        <v>0</v>
      </c>
      <c r="BF62" s="5" t="n">
        <f aca="false">IF(OR(AB62,E62),0,BE62-AD62)</f>
        <v>0</v>
      </c>
      <c r="BG62" s="5" t="n">
        <f aca="false">BG61+LN(1+($G62+BG$7)*$AM62)</f>
        <v>0.358004349093941</v>
      </c>
      <c r="BH62" s="5"/>
      <c r="BI62" s="5" t="n">
        <f aca="false">BI61+LN(1+($G62+BI$7)*$AM62)</f>
        <v>0.383973300008514</v>
      </c>
      <c r="BJ62" s="5"/>
      <c r="BK62" s="62" t="n">
        <f aca="false">C62</f>
        <v>50997</v>
      </c>
      <c r="BL62" s="67" t="n">
        <f aca="false">AI62</f>
        <v>0</v>
      </c>
    </row>
    <row r="63" customFormat="false" ht="15" hidden="false" customHeight="true" outlineLevel="0" collapsed="false">
      <c r="A63" s="3" t="n">
        <v>53</v>
      </c>
      <c r="B63" s="38" t="n">
        <f aca="false">EDATE(Inputs!$C$8,3*(A63-1))</f>
        <v>51089</v>
      </c>
      <c r="C63" s="38" t="n">
        <f aca="false">WORKDAY(B63-1,1)</f>
        <v>51089</v>
      </c>
      <c r="D63" s="61" t="b">
        <f aca="false">C63&lt;=Inputs!$C$9</f>
        <v>1</v>
      </c>
      <c r="E63" s="61" t="b">
        <f aca="false">AND(D63,NOT(D64))</f>
        <v>0</v>
      </c>
      <c r="F63" s="63" t="n">
        <f aca="false">(C63-C62)/360</f>
        <v>0.255555555555556</v>
      </c>
      <c r="G63" s="57" t="n">
        <f aca="false">Curve!D56</f>
        <v>0.02252</v>
      </c>
      <c r="H63" s="64" t="n">
        <f aca="false">AF62</f>
        <v>0</v>
      </c>
      <c r="I63" s="64" t="n">
        <f aca="false">IF(D63,H63*Inputs!$G$22,0)</f>
        <v>0</v>
      </c>
      <c r="J63" s="32" t="n">
        <f aca="false">MAX(Inputs!$G$24-(A63-1),1)</f>
        <v>1</v>
      </c>
      <c r="K63" s="64" t="n">
        <f aca="false">IF(D63,MIN(H63-I63,IF(J63&gt;1,(H63-I63)*Inputs!$G$23/((1+Inputs!$G$23)^J63-1),H63-I63)),0)</f>
        <v>0</v>
      </c>
      <c r="L63" s="64" t="n">
        <f aca="false">IF(D63,(H63-I63-K63)*Inputs!$G$21,0)</f>
        <v>0</v>
      </c>
      <c r="M63" s="64" t="n">
        <f aca="false">IF(A63&gt;Inputs!$G$13,(1-Inputs!$G$12)*INDEX($I$11:$I$190,A63-Inputs!$G$13),0)</f>
        <v>605.968070016505</v>
      </c>
      <c r="N63" s="64" t="n">
        <f aca="false">IF(D63,(H63-I63)*Inputs!$G$23,0)</f>
        <v>0</v>
      </c>
      <c r="O63" s="64" t="n">
        <f aca="false">AG62</f>
        <v>0</v>
      </c>
      <c r="P63" s="64" t="n">
        <f aca="false">AH62</f>
        <v>256983.980657201</v>
      </c>
      <c r="Q63" s="64" t="n">
        <f aca="false">IF(AND(D63,O63+P63&gt;0),Inputs!$C$25+Inputs!$C$26*H63/4,0)</f>
        <v>100000</v>
      </c>
      <c r="R63" s="64" t="n">
        <f aca="false">O63*IF(Inputs!$G$19="",G63+Inputs!$C$13,MAX(Inputs!$G$19,G63+Inputs!$C$13))*F63</f>
        <v>0</v>
      </c>
      <c r="S63" s="64" t="n">
        <f aca="false">P63*(G63+Inputs!$C$14)*F63</f>
        <v>1942.79889376844</v>
      </c>
      <c r="T63" s="64" t="n">
        <f aca="false">N63+M63-Q63-R63-S63</f>
        <v>-101336.830823752</v>
      </c>
      <c r="U63" s="64" t="n">
        <f aca="false">W62</f>
        <v>260422.420657149</v>
      </c>
      <c r="V63" s="64" t="n">
        <f aca="false">MIN(U63+I63,MAX(T63,0))</f>
        <v>0</v>
      </c>
      <c r="W63" s="64" t="n">
        <f aca="false">U63+I63-V63</f>
        <v>260422.420657149</v>
      </c>
      <c r="X63" s="64" t="n">
        <f aca="false">K63+L63+V63+IF(E63,H63-I63-K63-L63,0)</f>
        <v>0</v>
      </c>
      <c r="Y63" s="61" t="b">
        <f aca="false">AND(Inputs!$C$21=1,O63/Inputs!$C$10&lt;=Inputs!$C$22,Inputs!$G$14&lt;Inputs!$C$23,W63&lt;1)</f>
        <v>0</v>
      </c>
      <c r="Z63" s="61" t="b">
        <f aca="false">OR(AND(Inputs!$G$15=1,H63/Inputs!$C$17&lt;=Inputs!$C$24),AND(Inputs!$G$15=2,C63&gt;=Inputs!$G$16))</f>
        <v>0</v>
      </c>
      <c r="AA63" s="61" t="b">
        <f aca="false">OR(AA62,Z63)</f>
        <v>0</v>
      </c>
      <c r="AB63" s="61" t="b">
        <f aca="false">AND(Z63,NOT(AA62),D63,O63&gt;0)</f>
        <v>0</v>
      </c>
      <c r="AC63" s="63" t="n">
        <f aca="false">IF(AND(Y63,NOT(E63),O63+P63&gt;0),O63/(O63+P63),1)</f>
        <v>1</v>
      </c>
      <c r="AD63" s="64" t="n">
        <f aca="false">IF(AB63,O63,IF(D63,MIN(O63,IF(E63,AC63*X63+BF62,BE63*Inputs!$G$20)),0))</f>
        <v>0</v>
      </c>
      <c r="AE63" s="64" t="n">
        <f aca="false">IF(AB63,P63,IF(D63,MAX(MIN(P63,X63-MIN(O63,AC63*X63)),0),0))</f>
        <v>0</v>
      </c>
      <c r="AF63" s="64" t="n">
        <f aca="false">IF(OR(AB63,E63),0,MAX(H63-I63-K63-L63,0))</f>
        <v>0</v>
      </c>
      <c r="AG63" s="64" t="n">
        <f aca="false">IF(E63,0,O63-AD63)</f>
        <v>0</v>
      </c>
      <c r="AH63" s="64" t="n">
        <f aca="false">IF(OR(AB63,E63),0,P63-AE63)</f>
        <v>256983.980657201</v>
      </c>
      <c r="AI63" s="64" t="n">
        <f aca="false">IF(D63,R63+AD63,0)</f>
        <v>0</v>
      </c>
      <c r="AJ63" s="65" t="n">
        <f aca="false">(C63-Inputs!$G$6)/365</f>
        <v>13.1506849315068</v>
      </c>
      <c r="AK63" s="29" t="n">
        <f aca="false">AG63/Inputs!$C$10</f>
        <v>0</v>
      </c>
      <c r="AL63" s="5"/>
      <c r="AM63" s="66" t="n">
        <f aca="false">F63</f>
        <v>0.255555555555556</v>
      </c>
      <c r="AN63" s="5"/>
      <c r="AO63" s="5" t="n">
        <f aca="false">AO62+LN(1+($G63+AO$7)*$AM63)</f>
        <v>0.333875765008229</v>
      </c>
      <c r="AP63" s="5" t="n">
        <f aca="false">AP62+LN(1+($G63+AP$7)*$AM63)</f>
        <v>0.335200679337065</v>
      </c>
      <c r="AQ63" s="5" t="n">
        <f aca="false">AQ62+LN(1+($G63+AQ$7)*$AM63)</f>
        <v>0.377758624495179</v>
      </c>
      <c r="AR63" s="5" t="n">
        <f aca="false">AR62+LN(1+($G63+AR$7)*$AM63)</f>
        <v>0.379082438447904</v>
      </c>
      <c r="AS63" s="5" t="n">
        <f aca="false">AS62+LN(1+($G63+AS$7)*$AM63)</f>
        <v>0.378239831350016</v>
      </c>
      <c r="AT63" s="5" t="n">
        <f aca="false">AT62+LN(1+($G63+AT$7)*$AM63)</f>
        <v>0.37956363324142</v>
      </c>
      <c r="AU63" s="5" t="n">
        <f aca="false">AU62+LN(1+($G63+AU$7)*$AM63)</f>
        <v>0.378239728607774</v>
      </c>
      <c r="AV63" s="5" t="n">
        <f aca="false">AV62+LN(1+($G63+AV$7)*$AM63)</f>
        <v>0.379563530501752</v>
      </c>
      <c r="AW63" s="5" t="n">
        <f aca="false">AW62+LN(1+($G63+AW$7)*$AM63)</f>
        <v>0.378239728642231</v>
      </c>
      <c r="AX63" s="5" t="n">
        <f aca="false">AX62+LN(1+($G63+AX$7)*$AM63)</f>
        <v>0.379563530536211</v>
      </c>
      <c r="AY63" s="5" t="n">
        <f aca="false">AY62+LN(1+($G63+AY$7)*$AM63)</f>
        <v>0.378239728642225</v>
      </c>
      <c r="AZ63" s="5" t="n">
        <f aca="false">AZ62+LN(1+($G63+AZ$7)*$AM63)</f>
        <v>0.379563530536199</v>
      </c>
      <c r="BA63" s="5" t="n">
        <f aca="false">BA62+LN(1+($G63+BA$7)*$AM63)</f>
        <v>0.378239728642225</v>
      </c>
      <c r="BB63" s="5" t="n">
        <f aca="false">BB62+LN(1+($G63+BB$7)*$AM63)</f>
        <v>0.379563530536199</v>
      </c>
      <c r="BC63" s="5" t="n">
        <f aca="false">BC62+LN(1+($G63+BC$7)*$AM63)</f>
        <v>0.378239728642225</v>
      </c>
      <c r="BD63" s="5" t="n">
        <f aca="false">BD62+LN(1+($G63+BD$7)*$AM63)</f>
        <v>0.379563530536199</v>
      </c>
      <c r="BE63" s="5" t="n">
        <f aca="false">IF(AB63,O63,IF(D63,MIN(O63,AC63*X63+BF62),0))</f>
        <v>0</v>
      </c>
      <c r="BF63" s="5" t="n">
        <f aca="false">IF(OR(AB63,E63),0,BE63-AD63)</f>
        <v>0</v>
      </c>
      <c r="BG63" s="5" t="n">
        <f aca="false">BG62+LN(1+($G63+BG$7)*$AM63)</f>
        <v>0.364999884426392</v>
      </c>
      <c r="BH63" s="5"/>
      <c r="BI63" s="5" t="n">
        <f aca="false">BI62+LN(1+($G63+BI$7)*$AM63)</f>
        <v>0.391476254674414</v>
      </c>
      <c r="BJ63" s="5"/>
      <c r="BK63" s="62" t="n">
        <f aca="false">C63</f>
        <v>51089</v>
      </c>
      <c r="BL63" s="67" t="n">
        <f aca="false">AI63</f>
        <v>0</v>
      </c>
    </row>
    <row r="64" customFormat="false" ht="15" hidden="false" customHeight="true" outlineLevel="0" collapsed="false">
      <c r="A64" s="3" t="n">
        <v>54</v>
      </c>
      <c r="B64" s="38" t="n">
        <f aca="false">EDATE(Inputs!$C$8,3*(A64-1))</f>
        <v>51181</v>
      </c>
      <c r="C64" s="38" t="n">
        <f aca="false">WORKDAY(B64-1,1)</f>
        <v>51181</v>
      </c>
      <c r="D64" s="61" t="b">
        <f aca="false">C64&lt;=Inputs!$C$9</f>
        <v>1</v>
      </c>
      <c r="E64" s="61" t="b">
        <f aca="false">AND(D64,NOT(D65))</f>
        <v>0</v>
      </c>
      <c r="F64" s="63" t="n">
        <f aca="false">(C64-C63)/360</f>
        <v>0.255555555555556</v>
      </c>
      <c r="G64" s="57" t="n">
        <f aca="false">Curve!D57</f>
        <v>0.02252</v>
      </c>
      <c r="H64" s="64" t="n">
        <f aca="false">AF63</f>
        <v>0</v>
      </c>
      <c r="I64" s="64" t="n">
        <f aca="false">IF(D64,H64*Inputs!$G$22,0)</f>
        <v>0</v>
      </c>
      <c r="J64" s="32" t="n">
        <f aca="false">MAX(Inputs!$G$24-(A64-1),1)</f>
        <v>1</v>
      </c>
      <c r="K64" s="64" t="n">
        <f aca="false">IF(D64,MIN(H64-I64,IF(J64&gt;1,(H64-I64)*Inputs!$G$23/((1+Inputs!$G$23)^J64-1),H64-I64)),0)</f>
        <v>0</v>
      </c>
      <c r="L64" s="64" t="n">
        <f aca="false">IF(D64,(H64-I64-K64)*Inputs!$G$21,0)</f>
        <v>0</v>
      </c>
      <c r="M64" s="64" t="n">
        <f aca="false">IF(A64&gt;Inputs!$G$13,(1-Inputs!$G$12)*INDEX($I$11:$I$190,A64-Inputs!$G$13),0)</f>
        <v>223.678265735181</v>
      </c>
      <c r="N64" s="64" t="n">
        <f aca="false">IF(D64,(H64-I64)*Inputs!$G$23,0)</f>
        <v>0</v>
      </c>
      <c r="O64" s="64" t="n">
        <f aca="false">AG63</f>
        <v>0</v>
      </c>
      <c r="P64" s="64" t="n">
        <f aca="false">AH63</f>
        <v>256983.980657201</v>
      </c>
      <c r="Q64" s="64" t="n">
        <f aca="false">IF(AND(D64,O64+P64&gt;0),Inputs!$C$25+Inputs!$C$26*H64/4,0)</f>
        <v>100000</v>
      </c>
      <c r="R64" s="64" t="n">
        <f aca="false">O64*IF(Inputs!$G$19="",G64+Inputs!$C$13,MAX(Inputs!$G$19,G64+Inputs!$C$13))*F64</f>
        <v>0</v>
      </c>
      <c r="S64" s="64" t="n">
        <f aca="false">P64*(G64+Inputs!$C$14)*F64</f>
        <v>1942.79889376844</v>
      </c>
      <c r="T64" s="64" t="n">
        <f aca="false">N64+M64-Q64-R64-S64</f>
        <v>-101719.120628033</v>
      </c>
      <c r="U64" s="64" t="n">
        <f aca="false">W63</f>
        <v>260422.420657149</v>
      </c>
      <c r="V64" s="64" t="n">
        <f aca="false">MIN(U64+I64,MAX(T64,0))</f>
        <v>0</v>
      </c>
      <c r="W64" s="64" t="n">
        <f aca="false">U64+I64-V64</f>
        <v>260422.420657149</v>
      </c>
      <c r="X64" s="64" t="n">
        <f aca="false">K64+L64+V64+IF(E64,H64-I64-K64-L64,0)</f>
        <v>0</v>
      </c>
      <c r="Y64" s="61" t="b">
        <f aca="false">AND(Inputs!$C$21=1,O64/Inputs!$C$10&lt;=Inputs!$C$22,Inputs!$G$14&lt;Inputs!$C$23,W64&lt;1)</f>
        <v>0</v>
      </c>
      <c r="Z64" s="61" t="b">
        <f aca="false">OR(AND(Inputs!$G$15=1,H64/Inputs!$C$17&lt;=Inputs!$C$24),AND(Inputs!$G$15=2,C64&gt;=Inputs!$G$16))</f>
        <v>0</v>
      </c>
      <c r="AA64" s="61" t="b">
        <f aca="false">OR(AA63,Z64)</f>
        <v>0</v>
      </c>
      <c r="AB64" s="61" t="b">
        <f aca="false">AND(Z64,NOT(AA63),D64,O64&gt;0)</f>
        <v>0</v>
      </c>
      <c r="AC64" s="63" t="n">
        <f aca="false">IF(AND(Y64,NOT(E64),O64+P64&gt;0),O64/(O64+P64),1)</f>
        <v>1</v>
      </c>
      <c r="AD64" s="64" t="n">
        <f aca="false">IF(AB64,O64,IF(D64,MIN(O64,IF(E64,AC64*X64+BF63,BE64*Inputs!$G$20)),0))</f>
        <v>0</v>
      </c>
      <c r="AE64" s="64" t="n">
        <f aca="false">IF(AB64,P64,IF(D64,MAX(MIN(P64,X64-MIN(O64,AC64*X64)),0),0))</f>
        <v>0</v>
      </c>
      <c r="AF64" s="64" t="n">
        <f aca="false">IF(OR(AB64,E64),0,MAX(H64-I64-K64-L64,0))</f>
        <v>0</v>
      </c>
      <c r="AG64" s="64" t="n">
        <f aca="false">IF(E64,0,O64-AD64)</f>
        <v>0</v>
      </c>
      <c r="AH64" s="64" t="n">
        <f aca="false">IF(OR(AB64,E64),0,P64-AE64)</f>
        <v>256983.980657201</v>
      </c>
      <c r="AI64" s="64" t="n">
        <f aca="false">IF(D64,R64+AD64,0)</f>
        <v>0</v>
      </c>
      <c r="AJ64" s="65" t="n">
        <f aca="false">(C64-Inputs!$G$6)/365</f>
        <v>13.4027397260274</v>
      </c>
      <c r="AK64" s="29" t="n">
        <f aca="false">AG64/Inputs!$C$10</f>
        <v>0</v>
      </c>
      <c r="AL64" s="5"/>
      <c r="AM64" s="66" t="n">
        <f aca="false">F64</f>
        <v>0.255555555555556</v>
      </c>
      <c r="AN64" s="5"/>
      <c r="AO64" s="5" t="n">
        <f aca="false">AO63+LN(1+($G64+AO$7)*$AM64)</f>
        <v>0.340274802979387</v>
      </c>
      <c r="AP64" s="5" t="n">
        <f aca="false">AP63+LN(1+($G64+AP$7)*$AM64)</f>
        <v>0.341625109532529</v>
      </c>
      <c r="AQ64" s="5" t="n">
        <f aca="false">AQ63+LN(1+($G64+AQ$7)*$AM64)</f>
        <v>0.38499868132266</v>
      </c>
      <c r="AR64" s="5" t="n">
        <f aca="false">AR63+LN(1+($G64+AR$7)*$AM64)</f>
        <v>0.3863478661536</v>
      </c>
      <c r="AS64" s="5" t="n">
        <f aca="false">AS63+LN(1+($G64+AS$7)*$AM64)</f>
        <v>0.385489110501882</v>
      </c>
      <c r="AT64" s="5" t="n">
        <f aca="false">AT63+LN(1+($G64+AT$7)*$AM64)</f>
        <v>0.386838283037527</v>
      </c>
      <c r="AU64" s="5" t="n">
        <f aca="false">AU63+LN(1+($G64+AU$7)*$AM64)</f>
        <v>0.385489005790586</v>
      </c>
      <c r="AV64" s="5" t="n">
        <f aca="false">AV63+LN(1+($G64+AV$7)*$AM64)</f>
        <v>0.386838178328855</v>
      </c>
      <c r="AW64" s="5" t="n">
        <f aca="false">AW63+LN(1+($G64+AW$7)*$AM64)</f>
        <v>0.385489005825704</v>
      </c>
      <c r="AX64" s="5" t="n">
        <f aca="false">AX63+LN(1+($G64+AX$7)*$AM64)</f>
        <v>0.386838178363974</v>
      </c>
      <c r="AY64" s="5" t="n">
        <f aca="false">AY63+LN(1+($G64+AY$7)*$AM64)</f>
        <v>0.385489005825697</v>
      </c>
      <c r="AZ64" s="5" t="n">
        <f aca="false">AZ63+LN(1+($G64+AZ$7)*$AM64)</f>
        <v>0.386838178363962</v>
      </c>
      <c r="BA64" s="5" t="n">
        <f aca="false">BA63+LN(1+($G64+BA$7)*$AM64)</f>
        <v>0.385489005825697</v>
      </c>
      <c r="BB64" s="5" t="n">
        <f aca="false">BB63+LN(1+($G64+BB$7)*$AM64)</f>
        <v>0.386838178363962</v>
      </c>
      <c r="BC64" s="5" t="n">
        <f aca="false">BC63+LN(1+($G64+BC$7)*$AM64)</f>
        <v>0.385489005825697</v>
      </c>
      <c r="BD64" s="5" t="n">
        <f aca="false">BD63+LN(1+($G64+BD$7)*$AM64)</f>
        <v>0.386838178363962</v>
      </c>
      <c r="BE64" s="5" t="n">
        <f aca="false">IF(AB64,O64,IF(D64,MIN(O64,AC64*X64+BF63),0))</f>
        <v>0</v>
      </c>
      <c r="BF64" s="5" t="n">
        <f aca="false">IF(OR(AB64,E64),0,BE64-AD64)</f>
        <v>0</v>
      </c>
      <c r="BG64" s="5" t="n">
        <f aca="false">BG63+LN(1+($G64+BG$7)*$AM64)</f>
        <v>0.371995419758843</v>
      </c>
      <c r="BH64" s="5"/>
      <c r="BI64" s="5" t="n">
        <f aca="false">BI63+LN(1+($G64+BI$7)*$AM64)</f>
        <v>0.398979209340313</v>
      </c>
      <c r="BJ64" s="5"/>
      <c r="BK64" s="62" t="n">
        <f aca="false">C64</f>
        <v>51181</v>
      </c>
      <c r="BL64" s="67" t="n">
        <f aca="false">AI64</f>
        <v>0</v>
      </c>
    </row>
    <row r="65" customFormat="false" ht="15" hidden="false" customHeight="true" outlineLevel="0" collapsed="false">
      <c r="A65" s="3" t="n">
        <v>55</v>
      </c>
      <c r="B65" s="38" t="n">
        <f aca="false">EDATE(Inputs!$C$8,3*(A65-1))</f>
        <v>51271</v>
      </c>
      <c r="C65" s="38" t="n">
        <f aca="false">WORKDAY(B65-1,1)</f>
        <v>51271</v>
      </c>
      <c r="D65" s="61" t="b">
        <f aca="false">C65&lt;=Inputs!$C$9</f>
        <v>1</v>
      </c>
      <c r="E65" s="61" t="b">
        <f aca="false">AND(D65,NOT(D66))</f>
        <v>0</v>
      </c>
      <c r="F65" s="63" t="n">
        <f aca="false">(C65-C64)/360</f>
        <v>0.25</v>
      </c>
      <c r="G65" s="57" t="n">
        <f aca="false">Curve!D58</f>
        <v>0.02252</v>
      </c>
      <c r="H65" s="64" t="n">
        <f aca="false">AF64</f>
        <v>0</v>
      </c>
      <c r="I65" s="64" t="n">
        <f aca="false">IF(D65,H65*Inputs!$G$22,0)</f>
        <v>0</v>
      </c>
      <c r="J65" s="32" t="n">
        <f aca="false">MAX(Inputs!$G$24-(A65-1),1)</f>
        <v>1</v>
      </c>
      <c r="K65" s="64" t="n">
        <f aca="false">IF(D65,MIN(H65-I65,IF(J65&gt;1,(H65-I65)*Inputs!$G$23/((1+Inputs!$G$23)^J65-1),H65-I65)),0)</f>
        <v>0</v>
      </c>
      <c r="L65" s="64" t="n">
        <f aca="false">IF(D65,(H65-I65-K65)*Inputs!$G$21,0)</f>
        <v>0</v>
      </c>
      <c r="M65" s="64" t="n">
        <f aca="false">IF(A65&gt;Inputs!$G$13,(1-Inputs!$G$12)*INDEX($I$11:$I$190,A65-Inputs!$G$13),0)</f>
        <v>0</v>
      </c>
      <c r="N65" s="64" t="n">
        <f aca="false">IF(D65,(H65-I65)*Inputs!$G$23,0)</f>
        <v>0</v>
      </c>
      <c r="O65" s="64" t="n">
        <f aca="false">AG64</f>
        <v>0</v>
      </c>
      <c r="P65" s="64" t="n">
        <f aca="false">AH64</f>
        <v>256983.980657201</v>
      </c>
      <c r="Q65" s="64" t="n">
        <f aca="false">IF(AND(D65,O65+P65&gt;0),Inputs!$C$25+Inputs!$C$26*H65/4,0)</f>
        <v>100000</v>
      </c>
      <c r="R65" s="64" t="n">
        <f aca="false">O65*IF(Inputs!$G$19="",G65+Inputs!$C$13,MAX(Inputs!$G$19,G65+Inputs!$C$13))*F65</f>
        <v>0</v>
      </c>
      <c r="S65" s="64" t="n">
        <f aca="false">P65*(G65+Inputs!$C$14)*F65</f>
        <v>1900.56413520826</v>
      </c>
      <c r="T65" s="64" t="n">
        <f aca="false">N65+M65-Q65-R65-S65</f>
        <v>-101900.564135208</v>
      </c>
      <c r="U65" s="64" t="n">
        <f aca="false">W64</f>
        <v>260422.420657149</v>
      </c>
      <c r="V65" s="64" t="n">
        <f aca="false">MIN(U65+I65,MAX(T65,0))</f>
        <v>0</v>
      </c>
      <c r="W65" s="64" t="n">
        <f aca="false">U65+I65-V65</f>
        <v>260422.420657149</v>
      </c>
      <c r="X65" s="64" t="n">
        <f aca="false">K65+L65+V65+IF(E65,H65-I65-K65-L65,0)</f>
        <v>0</v>
      </c>
      <c r="Y65" s="61" t="b">
        <f aca="false">AND(Inputs!$C$21=1,O65/Inputs!$C$10&lt;=Inputs!$C$22,Inputs!$G$14&lt;Inputs!$C$23,W65&lt;1)</f>
        <v>0</v>
      </c>
      <c r="Z65" s="61" t="b">
        <f aca="false">OR(AND(Inputs!$G$15=1,H65/Inputs!$C$17&lt;=Inputs!$C$24),AND(Inputs!$G$15=2,C65&gt;=Inputs!$G$16))</f>
        <v>0</v>
      </c>
      <c r="AA65" s="61" t="b">
        <f aca="false">OR(AA64,Z65)</f>
        <v>0</v>
      </c>
      <c r="AB65" s="61" t="b">
        <f aca="false">AND(Z65,NOT(AA64),D65,O65&gt;0)</f>
        <v>0</v>
      </c>
      <c r="AC65" s="63" t="n">
        <f aca="false">IF(AND(Y65,NOT(E65),O65+P65&gt;0),O65/(O65+P65),1)</f>
        <v>1</v>
      </c>
      <c r="AD65" s="64" t="n">
        <f aca="false">IF(AB65,O65,IF(D65,MIN(O65,IF(E65,AC65*X65+BF64,BE65*Inputs!$G$20)),0))</f>
        <v>0</v>
      </c>
      <c r="AE65" s="64" t="n">
        <f aca="false">IF(AB65,P65,IF(D65,MAX(MIN(P65,X65-MIN(O65,AC65*X65)),0),0))</f>
        <v>0</v>
      </c>
      <c r="AF65" s="64" t="n">
        <f aca="false">IF(OR(AB65,E65),0,MAX(H65-I65-K65-L65,0))</f>
        <v>0</v>
      </c>
      <c r="AG65" s="64" t="n">
        <f aca="false">IF(E65,0,O65-AD65)</f>
        <v>0</v>
      </c>
      <c r="AH65" s="64" t="n">
        <f aca="false">IF(OR(AB65,E65),0,P65-AE65)</f>
        <v>256983.980657201</v>
      </c>
      <c r="AI65" s="64" t="n">
        <f aca="false">IF(D65,R65+AD65,0)</f>
        <v>0</v>
      </c>
      <c r="AJ65" s="65" t="n">
        <f aca="false">(C65-Inputs!$G$6)/365</f>
        <v>13.6493150684932</v>
      </c>
      <c r="AK65" s="29" t="n">
        <f aca="false">AG65/Inputs!$C$10</f>
        <v>0</v>
      </c>
      <c r="AL65" s="5"/>
      <c r="AM65" s="66" t="n">
        <f aca="false">F65</f>
        <v>0.25</v>
      </c>
      <c r="AN65" s="5"/>
      <c r="AO65" s="5" t="n">
        <f aca="false">AO64+LN(1+($G65+AO$7)*$AM65)</f>
        <v>0.346535165950201</v>
      </c>
      <c r="AP65" s="5" t="n">
        <f aca="false">AP64+LN(1+($G65+AP$7)*$AM65)</f>
        <v>0.347910316174543</v>
      </c>
      <c r="AQ65" s="5" t="n">
        <f aca="false">AQ64+LN(1+($G65+AQ$7)*$AM65)</f>
        <v>0.392081901705127</v>
      </c>
      <c r="AR65" s="5" t="n">
        <f aca="false">AR64+LN(1+($G65+AR$7)*$AM65)</f>
        <v>0.39345590977313</v>
      </c>
      <c r="AS65" s="5" t="n">
        <f aca="false">AS64+LN(1+($G65+AS$7)*$AM65)</f>
        <v>0.392581354139384</v>
      </c>
      <c r="AT65" s="5" t="n">
        <f aca="false">AT64+LN(1+($G65+AT$7)*$AM65)</f>
        <v>0.393955349688109</v>
      </c>
      <c r="AU65" s="5" t="n">
        <f aca="false">AU64+LN(1+($G65+AU$7)*$AM65)</f>
        <v>0.392581247501537</v>
      </c>
      <c r="AV65" s="5" t="n">
        <f aca="false">AV64+LN(1+($G65+AV$7)*$AM65)</f>
        <v>0.393955243052935</v>
      </c>
      <c r="AW65" s="5" t="n">
        <f aca="false">AW64+LN(1+($G65+AW$7)*$AM65)</f>
        <v>0.392581247537301</v>
      </c>
      <c r="AX65" s="5" t="n">
        <f aca="false">AX64+LN(1+($G65+AX$7)*$AM65)</f>
        <v>0.3939552430887</v>
      </c>
      <c r="AY65" s="5" t="n">
        <f aca="false">AY64+LN(1+($G65+AY$7)*$AM65)</f>
        <v>0.392581247537294</v>
      </c>
      <c r="AZ65" s="5" t="n">
        <f aca="false">AZ64+LN(1+($G65+AZ$7)*$AM65)</f>
        <v>0.393955243088688</v>
      </c>
      <c r="BA65" s="5" t="n">
        <f aca="false">BA64+LN(1+($G65+BA$7)*$AM65)</f>
        <v>0.392581247537294</v>
      </c>
      <c r="BB65" s="5" t="n">
        <f aca="false">BB64+LN(1+($G65+BB$7)*$AM65)</f>
        <v>0.393955243088688</v>
      </c>
      <c r="BC65" s="5" t="n">
        <f aca="false">BC64+LN(1+($G65+BC$7)*$AM65)</f>
        <v>0.392581247537294</v>
      </c>
      <c r="BD65" s="5" t="n">
        <f aca="false">BD64+LN(1+($G65+BD$7)*$AM65)</f>
        <v>0.393955243088688</v>
      </c>
      <c r="BE65" s="5" t="n">
        <f aca="false">IF(AB65,O65,IF(D65,MIN(O65,AC65*X65+BF64),0))</f>
        <v>0</v>
      </c>
      <c r="BF65" s="5" t="n">
        <f aca="false">IF(OR(AB65,E65),0,BE65-AD65)</f>
        <v>0</v>
      </c>
      <c r="BG65" s="5" t="n">
        <f aca="false">BG64+LN(1+($G65+BG$7)*$AM65)</f>
        <v>0.378839397443255</v>
      </c>
      <c r="BH65" s="5"/>
      <c r="BI65" s="5" t="n">
        <f aca="false">BI64+LN(1+($G65+BI$7)*$AM65)</f>
        <v>0.406319653459365</v>
      </c>
      <c r="BJ65" s="5"/>
      <c r="BK65" s="62" t="n">
        <f aca="false">C65</f>
        <v>51271</v>
      </c>
      <c r="BL65" s="67" t="n">
        <f aca="false">AI65</f>
        <v>0</v>
      </c>
    </row>
    <row r="66" customFormat="false" ht="15" hidden="false" customHeight="true" outlineLevel="0" collapsed="false">
      <c r="A66" s="3" t="n">
        <v>56</v>
      </c>
      <c r="B66" s="38" t="n">
        <f aca="false">EDATE(Inputs!$C$8,3*(A66-1))</f>
        <v>51363</v>
      </c>
      <c r="C66" s="38" t="n">
        <f aca="false">WORKDAY(B66-1,1)</f>
        <v>51363</v>
      </c>
      <c r="D66" s="61" t="b">
        <f aca="false">C66&lt;=Inputs!$C$9</f>
        <v>1</v>
      </c>
      <c r="E66" s="61" t="b">
        <f aca="false">AND(D66,NOT(D67))</f>
        <v>0</v>
      </c>
      <c r="F66" s="63" t="n">
        <f aca="false">(C66-C65)/360</f>
        <v>0.255555555555556</v>
      </c>
      <c r="G66" s="57" t="n">
        <f aca="false">Curve!D59</f>
        <v>0.02252</v>
      </c>
      <c r="H66" s="64" t="n">
        <f aca="false">AF65</f>
        <v>0</v>
      </c>
      <c r="I66" s="64" t="n">
        <f aca="false">IF(D66,H66*Inputs!$G$22,0)</f>
        <v>0</v>
      </c>
      <c r="J66" s="32" t="n">
        <f aca="false">MAX(Inputs!$G$24-(A66-1),1)</f>
        <v>1</v>
      </c>
      <c r="K66" s="64" t="n">
        <f aca="false">IF(D66,MIN(H66-I66,IF(J66&gt;1,(H66-I66)*Inputs!$G$23/((1+Inputs!$G$23)^J66-1),H66-I66)),0)</f>
        <v>0</v>
      </c>
      <c r="L66" s="64" t="n">
        <f aca="false">IF(D66,(H66-I66-K66)*Inputs!$G$21,0)</f>
        <v>0</v>
      </c>
      <c r="M66" s="64" t="n">
        <f aca="false">IF(A66&gt;Inputs!$G$13,(1-Inputs!$G$12)*INDEX($I$11:$I$190,A66-Inputs!$G$13),0)</f>
        <v>0</v>
      </c>
      <c r="N66" s="64" t="n">
        <f aca="false">IF(D66,(H66-I66)*Inputs!$G$23,0)</f>
        <v>0</v>
      </c>
      <c r="O66" s="64" t="n">
        <f aca="false">AG65</f>
        <v>0</v>
      </c>
      <c r="P66" s="64" t="n">
        <f aca="false">AH65</f>
        <v>256983.980657201</v>
      </c>
      <c r="Q66" s="64" t="n">
        <f aca="false">IF(AND(D66,O66+P66&gt;0),Inputs!$C$25+Inputs!$C$26*H66/4,0)</f>
        <v>100000</v>
      </c>
      <c r="R66" s="64" t="n">
        <f aca="false">O66*IF(Inputs!$G$19="",G66+Inputs!$C$13,MAX(Inputs!$G$19,G66+Inputs!$C$13))*F66</f>
        <v>0</v>
      </c>
      <c r="S66" s="64" t="n">
        <f aca="false">P66*(G66+Inputs!$C$14)*F66</f>
        <v>1942.79889376844</v>
      </c>
      <c r="T66" s="64" t="n">
        <f aca="false">N66+M66-Q66-R66-S66</f>
        <v>-101942.798893768</v>
      </c>
      <c r="U66" s="64" t="n">
        <f aca="false">W65</f>
        <v>260422.420657149</v>
      </c>
      <c r="V66" s="64" t="n">
        <f aca="false">MIN(U66+I66,MAX(T66,0))</f>
        <v>0</v>
      </c>
      <c r="W66" s="64" t="n">
        <f aca="false">U66+I66-V66</f>
        <v>260422.420657149</v>
      </c>
      <c r="X66" s="64" t="n">
        <f aca="false">K66+L66+V66+IF(E66,H66-I66-K66-L66,0)</f>
        <v>0</v>
      </c>
      <c r="Y66" s="61" t="b">
        <f aca="false">AND(Inputs!$C$21=1,O66/Inputs!$C$10&lt;=Inputs!$C$22,Inputs!$G$14&lt;Inputs!$C$23,W66&lt;1)</f>
        <v>0</v>
      </c>
      <c r="Z66" s="61" t="b">
        <f aca="false">OR(AND(Inputs!$G$15=1,H66/Inputs!$C$17&lt;=Inputs!$C$24),AND(Inputs!$G$15=2,C66&gt;=Inputs!$G$16))</f>
        <v>0</v>
      </c>
      <c r="AA66" s="61" t="b">
        <f aca="false">OR(AA65,Z66)</f>
        <v>0</v>
      </c>
      <c r="AB66" s="61" t="b">
        <f aca="false">AND(Z66,NOT(AA65),D66,O66&gt;0)</f>
        <v>0</v>
      </c>
      <c r="AC66" s="63" t="n">
        <f aca="false">IF(AND(Y66,NOT(E66),O66+P66&gt;0),O66/(O66+P66),1)</f>
        <v>1</v>
      </c>
      <c r="AD66" s="64" t="n">
        <f aca="false">IF(AB66,O66,IF(D66,MIN(O66,IF(E66,AC66*X66+BF65,BE66*Inputs!$G$20)),0))</f>
        <v>0</v>
      </c>
      <c r="AE66" s="64" t="n">
        <f aca="false">IF(AB66,P66,IF(D66,MAX(MIN(P66,X66-MIN(O66,AC66*X66)),0),0))</f>
        <v>0</v>
      </c>
      <c r="AF66" s="64" t="n">
        <f aca="false">IF(OR(AB66,E66),0,MAX(H66-I66-K66-L66,0))</f>
        <v>0</v>
      </c>
      <c r="AG66" s="64" t="n">
        <f aca="false">IF(E66,0,O66-AD66)</f>
        <v>0</v>
      </c>
      <c r="AH66" s="64" t="n">
        <f aca="false">IF(OR(AB66,E66),0,P66-AE66)</f>
        <v>256983.980657201</v>
      </c>
      <c r="AI66" s="64" t="n">
        <f aca="false">IF(D66,R66+AD66,0)</f>
        <v>0</v>
      </c>
      <c r="AJ66" s="65" t="n">
        <f aca="false">(C66-Inputs!$G$6)/365</f>
        <v>13.9013698630137</v>
      </c>
      <c r="AK66" s="29" t="n">
        <f aca="false">AG66/Inputs!$C$10</f>
        <v>0</v>
      </c>
      <c r="AL66" s="5"/>
      <c r="AM66" s="66" t="n">
        <f aca="false">F66</f>
        <v>0.255555555555556</v>
      </c>
      <c r="AN66" s="5"/>
      <c r="AO66" s="5" t="n">
        <f aca="false">AO65+LN(1+($G66+AO$7)*$AM66)</f>
        <v>0.352934203921358</v>
      </c>
      <c r="AP66" s="5" t="n">
        <f aca="false">AP65+LN(1+($G66+AP$7)*$AM66)</f>
        <v>0.354334746370006</v>
      </c>
      <c r="AQ66" s="5" t="n">
        <f aca="false">AQ65+LN(1+($G66+AQ$7)*$AM66)</f>
        <v>0.399321958532607</v>
      </c>
      <c r="AR66" s="5" t="n">
        <f aca="false">AR65+LN(1+($G66+AR$7)*$AM66)</f>
        <v>0.400721337478826</v>
      </c>
      <c r="AS66" s="5" t="n">
        <f aca="false">AS65+LN(1+($G66+AS$7)*$AM66)</f>
        <v>0.39983063329125</v>
      </c>
      <c r="AT66" s="5" t="n">
        <f aca="false">AT65+LN(1+($G66+AT$7)*$AM66)</f>
        <v>0.401229999484216</v>
      </c>
      <c r="AU66" s="5" t="n">
        <f aca="false">AU65+LN(1+($G66+AU$7)*$AM66)</f>
        <v>0.39983052468435</v>
      </c>
      <c r="AV66" s="5" t="n">
        <f aca="false">AV65+LN(1+($G66+AV$7)*$AM66)</f>
        <v>0.401229890880037</v>
      </c>
      <c r="AW66" s="5" t="n">
        <f aca="false">AW65+LN(1+($G66+AW$7)*$AM66)</f>
        <v>0.399830524720774</v>
      </c>
      <c r="AX66" s="5" t="n">
        <f aca="false">AX65+LN(1+($G66+AX$7)*$AM66)</f>
        <v>0.401229890916464</v>
      </c>
      <c r="AY66" s="5" t="n">
        <f aca="false">AY65+LN(1+($G66+AY$7)*$AM66)</f>
        <v>0.399830524720767</v>
      </c>
      <c r="AZ66" s="5" t="n">
        <f aca="false">AZ65+LN(1+($G66+AZ$7)*$AM66)</f>
        <v>0.401229890916451</v>
      </c>
      <c r="BA66" s="5" t="n">
        <f aca="false">BA65+LN(1+($G66+BA$7)*$AM66)</f>
        <v>0.399830524720767</v>
      </c>
      <c r="BB66" s="5" t="n">
        <f aca="false">BB65+LN(1+($G66+BB$7)*$AM66)</f>
        <v>0.401229890916451</v>
      </c>
      <c r="BC66" s="5" t="n">
        <f aca="false">BC65+LN(1+($G66+BC$7)*$AM66)</f>
        <v>0.399830524720767</v>
      </c>
      <c r="BD66" s="5" t="n">
        <f aca="false">BD65+LN(1+($G66+BD$7)*$AM66)</f>
        <v>0.401229890916451</v>
      </c>
      <c r="BE66" s="5" t="n">
        <f aca="false">IF(AB66,O66,IF(D66,MIN(O66,AC66*X66+BF65),0))</f>
        <v>0</v>
      </c>
      <c r="BF66" s="5" t="n">
        <f aca="false">IF(OR(AB66,E66),0,BE66-AD66)</f>
        <v>0</v>
      </c>
      <c r="BG66" s="5" t="n">
        <f aca="false">BG65+LN(1+($G66+BG$7)*$AM66)</f>
        <v>0.385834932775706</v>
      </c>
      <c r="BH66" s="5"/>
      <c r="BI66" s="5" t="n">
        <f aca="false">BI65+LN(1+($G66+BI$7)*$AM66)</f>
        <v>0.413822608125265</v>
      </c>
      <c r="BJ66" s="5"/>
      <c r="BK66" s="62" t="n">
        <f aca="false">C66</f>
        <v>51363</v>
      </c>
      <c r="BL66" s="67" t="n">
        <f aca="false">AI66</f>
        <v>0</v>
      </c>
    </row>
    <row r="67" customFormat="false" ht="15" hidden="false" customHeight="true" outlineLevel="0" collapsed="false">
      <c r="A67" s="3" t="n">
        <v>57</v>
      </c>
      <c r="B67" s="38" t="n">
        <f aca="false">EDATE(Inputs!$C$8,3*(A67-1))</f>
        <v>51455</v>
      </c>
      <c r="C67" s="38" t="n">
        <f aca="false">WORKDAY(B67-1,1)</f>
        <v>51455</v>
      </c>
      <c r="D67" s="61" t="b">
        <f aca="false">C67&lt;=Inputs!$C$9</f>
        <v>1</v>
      </c>
      <c r="E67" s="61" t="b">
        <f aca="false">AND(D67,NOT(D68))</f>
        <v>0</v>
      </c>
      <c r="F67" s="63" t="n">
        <f aca="false">(C67-C66)/360</f>
        <v>0.255555555555556</v>
      </c>
      <c r="G67" s="57" t="n">
        <f aca="false">Curve!D60</f>
        <v>0.02252</v>
      </c>
      <c r="H67" s="64" t="n">
        <f aca="false">AF66</f>
        <v>0</v>
      </c>
      <c r="I67" s="64" t="n">
        <f aca="false">IF(D67,H67*Inputs!$G$22,0)</f>
        <v>0</v>
      </c>
      <c r="J67" s="32" t="n">
        <f aca="false">MAX(Inputs!$G$24-(A67-1),1)</f>
        <v>1</v>
      </c>
      <c r="K67" s="64" t="n">
        <f aca="false">IF(D67,MIN(H67-I67,IF(J67&gt;1,(H67-I67)*Inputs!$G$23/((1+Inputs!$G$23)^J67-1),H67-I67)),0)</f>
        <v>0</v>
      </c>
      <c r="L67" s="64" t="n">
        <f aca="false">IF(D67,(H67-I67-K67)*Inputs!$G$21,0)</f>
        <v>0</v>
      </c>
      <c r="M67" s="64" t="n">
        <f aca="false">IF(A67&gt;Inputs!$G$13,(1-Inputs!$G$12)*INDEX($I$11:$I$190,A67-Inputs!$G$13),0)</f>
        <v>0</v>
      </c>
      <c r="N67" s="64" t="n">
        <f aca="false">IF(D67,(H67-I67)*Inputs!$G$23,0)</f>
        <v>0</v>
      </c>
      <c r="O67" s="64" t="n">
        <f aca="false">AG66</f>
        <v>0</v>
      </c>
      <c r="P67" s="64" t="n">
        <f aca="false">AH66</f>
        <v>256983.980657201</v>
      </c>
      <c r="Q67" s="64" t="n">
        <f aca="false">IF(AND(D67,O67+P67&gt;0),Inputs!$C$25+Inputs!$C$26*H67/4,0)</f>
        <v>100000</v>
      </c>
      <c r="R67" s="64" t="n">
        <f aca="false">O67*IF(Inputs!$G$19="",G67+Inputs!$C$13,MAX(Inputs!$G$19,G67+Inputs!$C$13))*F67</f>
        <v>0</v>
      </c>
      <c r="S67" s="64" t="n">
        <f aca="false">P67*(G67+Inputs!$C$14)*F67</f>
        <v>1942.79889376844</v>
      </c>
      <c r="T67" s="64" t="n">
        <f aca="false">N67+M67-Q67-R67-S67</f>
        <v>-101942.798893768</v>
      </c>
      <c r="U67" s="64" t="n">
        <f aca="false">W66</f>
        <v>260422.420657149</v>
      </c>
      <c r="V67" s="64" t="n">
        <f aca="false">MIN(U67+I67,MAX(T67,0))</f>
        <v>0</v>
      </c>
      <c r="W67" s="64" t="n">
        <f aca="false">U67+I67-V67</f>
        <v>260422.420657149</v>
      </c>
      <c r="X67" s="64" t="n">
        <f aca="false">K67+L67+V67+IF(E67,H67-I67-K67-L67,0)</f>
        <v>0</v>
      </c>
      <c r="Y67" s="61" t="b">
        <f aca="false">AND(Inputs!$C$21=1,O67/Inputs!$C$10&lt;=Inputs!$C$22,Inputs!$G$14&lt;Inputs!$C$23,W67&lt;1)</f>
        <v>0</v>
      </c>
      <c r="Z67" s="61" t="b">
        <f aca="false">OR(AND(Inputs!$G$15=1,H67/Inputs!$C$17&lt;=Inputs!$C$24),AND(Inputs!$G$15=2,C67&gt;=Inputs!$G$16))</f>
        <v>0</v>
      </c>
      <c r="AA67" s="61" t="b">
        <f aca="false">OR(AA66,Z67)</f>
        <v>0</v>
      </c>
      <c r="AB67" s="61" t="b">
        <f aca="false">AND(Z67,NOT(AA66),D67,O67&gt;0)</f>
        <v>0</v>
      </c>
      <c r="AC67" s="63" t="n">
        <f aca="false">IF(AND(Y67,NOT(E67),O67+P67&gt;0),O67/(O67+P67),1)</f>
        <v>1</v>
      </c>
      <c r="AD67" s="64" t="n">
        <f aca="false">IF(AB67,O67,IF(D67,MIN(O67,IF(E67,AC67*X67+BF66,BE67*Inputs!$G$20)),0))</f>
        <v>0</v>
      </c>
      <c r="AE67" s="64" t="n">
        <f aca="false">IF(AB67,P67,IF(D67,MAX(MIN(P67,X67-MIN(O67,AC67*X67)),0),0))</f>
        <v>0</v>
      </c>
      <c r="AF67" s="64" t="n">
        <f aca="false">IF(OR(AB67,E67),0,MAX(H67-I67-K67-L67,0))</f>
        <v>0</v>
      </c>
      <c r="AG67" s="64" t="n">
        <f aca="false">IF(E67,0,O67-AD67)</f>
        <v>0</v>
      </c>
      <c r="AH67" s="64" t="n">
        <f aca="false">IF(OR(AB67,E67),0,P67-AE67)</f>
        <v>256983.980657201</v>
      </c>
      <c r="AI67" s="64" t="n">
        <f aca="false">IF(D67,R67+AD67,0)</f>
        <v>0</v>
      </c>
      <c r="AJ67" s="65" t="n">
        <f aca="false">(C67-Inputs!$G$6)/365</f>
        <v>14.1534246575342</v>
      </c>
      <c r="AK67" s="29" t="n">
        <f aca="false">AG67/Inputs!$C$10</f>
        <v>0</v>
      </c>
      <c r="AL67" s="5"/>
      <c r="AM67" s="66" t="n">
        <f aca="false">F67</f>
        <v>0.255555555555556</v>
      </c>
      <c r="AN67" s="5"/>
      <c r="AO67" s="5" t="n">
        <f aca="false">AO66+LN(1+($G67+AO$7)*$AM67)</f>
        <v>0.359333241892516</v>
      </c>
      <c r="AP67" s="5" t="n">
        <f aca="false">AP66+LN(1+($G67+AP$7)*$AM67)</f>
        <v>0.36075917656547</v>
      </c>
      <c r="AQ67" s="5" t="n">
        <f aca="false">AQ66+LN(1+($G67+AQ$7)*$AM67)</f>
        <v>0.406562015360088</v>
      </c>
      <c r="AR67" s="5" t="n">
        <f aca="false">AR66+LN(1+($G67+AR$7)*$AM67)</f>
        <v>0.407986765184522</v>
      </c>
      <c r="AS67" s="5" t="n">
        <f aca="false">AS66+LN(1+($G67+AS$7)*$AM67)</f>
        <v>0.407079912443117</v>
      </c>
      <c r="AT67" s="5" t="n">
        <f aca="false">AT66+LN(1+($G67+AT$7)*$AM67)</f>
        <v>0.408504649280323</v>
      </c>
      <c r="AU67" s="5" t="n">
        <f aca="false">AU66+LN(1+($G67+AU$7)*$AM67)</f>
        <v>0.407079801867162</v>
      </c>
      <c r="AV67" s="5" t="n">
        <f aca="false">AV66+LN(1+($G67+AV$7)*$AM67)</f>
        <v>0.40850453870714</v>
      </c>
      <c r="AW67" s="5" t="n">
        <f aca="false">AW66+LN(1+($G67+AW$7)*$AM67)</f>
        <v>0.407079801904247</v>
      </c>
      <c r="AX67" s="5" t="n">
        <f aca="false">AX66+LN(1+($G67+AX$7)*$AM67)</f>
        <v>0.408504538744227</v>
      </c>
      <c r="AY67" s="5" t="n">
        <f aca="false">AY66+LN(1+($G67+AY$7)*$AM67)</f>
        <v>0.40707980190424</v>
      </c>
      <c r="AZ67" s="5" t="n">
        <f aca="false">AZ66+LN(1+($G67+AZ$7)*$AM67)</f>
        <v>0.408504538744214</v>
      </c>
      <c r="BA67" s="5" t="n">
        <f aca="false">BA66+LN(1+($G67+BA$7)*$AM67)</f>
        <v>0.40707980190424</v>
      </c>
      <c r="BB67" s="5" t="n">
        <f aca="false">BB66+LN(1+($G67+BB$7)*$AM67)</f>
        <v>0.408504538744214</v>
      </c>
      <c r="BC67" s="5" t="n">
        <f aca="false">BC66+LN(1+($G67+BC$7)*$AM67)</f>
        <v>0.40707980190424</v>
      </c>
      <c r="BD67" s="5" t="n">
        <f aca="false">BD66+LN(1+($G67+BD$7)*$AM67)</f>
        <v>0.408504538744214</v>
      </c>
      <c r="BE67" s="5" t="n">
        <f aca="false">IF(AB67,O67,IF(D67,MIN(O67,AC67*X67+BF66),0))</f>
        <v>0</v>
      </c>
      <c r="BF67" s="5" t="n">
        <f aca="false">IF(OR(AB67,E67),0,BE67-AD67)</f>
        <v>0</v>
      </c>
      <c r="BG67" s="5" t="n">
        <f aca="false">BG66+LN(1+($G67+BG$7)*$AM67)</f>
        <v>0.392830468108157</v>
      </c>
      <c r="BH67" s="5"/>
      <c r="BI67" s="5" t="n">
        <f aca="false">BI66+LN(1+($G67+BI$7)*$AM67)</f>
        <v>0.421325562791165</v>
      </c>
      <c r="BJ67" s="5"/>
      <c r="BK67" s="62" t="n">
        <f aca="false">C67</f>
        <v>51455</v>
      </c>
      <c r="BL67" s="67" t="n">
        <f aca="false">AI67</f>
        <v>0</v>
      </c>
    </row>
    <row r="68" customFormat="false" ht="15" hidden="false" customHeight="true" outlineLevel="0" collapsed="false">
      <c r="A68" s="3" t="n">
        <v>58</v>
      </c>
      <c r="B68" s="38" t="n">
        <f aca="false">EDATE(Inputs!$C$8,3*(A68-1))</f>
        <v>51547</v>
      </c>
      <c r="C68" s="38" t="n">
        <f aca="false">WORKDAY(B68-1,1)</f>
        <v>51547</v>
      </c>
      <c r="D68" s="61" t="b">
        <f aca="false">C68&lt;=Inputs!$C$9</f>
        <v>1</v>
      </c>
      <c r="E68" s="61" t="b">
        <f aca="false">AND(D68,NOT(D69))</f>
        <v>0</v>
      </c>
      <c r="F68" s="63" t="n">
        <f aca="false">(C68-C67)/360</f>
        <v>0.255555555555556</v>
      </c>
      <c r="G68" s="57" t="n">
        <f aca="false">Curve!D61</f>
        <v>0.02252</v>
      </c>
      <c r="H68" s="64" t="n">
        <f aca="false">AF67</f>
        <v>0</v>
      </c>
      <c r="I68" s="64" t="n">
        <f aca="false">IF(D68,H68*Inputs!$G$22,0)</f>
        <v>0</v>
      </c>
      <c r="J68" s="32" t="n">
        <f aca="false">MAX(Inputs!$G$24-(A68-1),1)</f>
        <v>1</v>
      </c>
      <c r="K68" s="64" t="n">
        <f aca="false">IF(D68,MIN(H68-I68,IF(J68&gt;1,(H68-I68)*Inputs!$G$23/((1+Inputs!$G$23)^J68-1),H68-I68)),0)</f>
        <v>0</v>
      </c>
      <c r="L68" s="64" t="n">
        <f aca="false">IF(D68,(H68-I68-K68)*Inputs!$G$21,0)</f>
        <v>0</v>
      </c>
      <c r="M68" s="64" t="n">
        <f aca="false">IF(A68&gt;Inputs!$G$13,(1-Inputs!$G$12)*INDEX($I$11:$I$190,A68-Inputs!$G$13),0)</f>
        <v>0</v>
      </c>
      <c r="N68" s="64" t="n">
        <f aca="false">IF(D68,(H68-I68)*Inputs!$G$23,0)</f>
        <v>0</v>
      </c>
      <c r="O68" s="64" t="n">
        <f aca="false">AG67</f>
        <v>0</v>
      </c>
      <c r="P68" s="64" t="n">
        <f aca="false">AH67</f>
        <v>256983.980657201</v>
      </c>
      <c r="Q68" s="64" t="n">
        <f aca="false">IF(AND(D68,O68+P68&gt;0),Inputs!$C$25+Inputs!$C$26*H68/4,0)</f>
        <v>100000</v>
      </c>
      <c r="R68" s="64" t="n">
        <f aca="false">O68*IF(Inputs!$G$19="",G68+Inputs!$C$13,MAX(Inputs!$G$19,G68+Inputs!$C$13))*F68</f>
        <v>0</v>
      </c>
      <c r="S68" s="64" t="n">
        <f aca="false">P68*(G68+Inputs!$C$14)*F68</f>
        <v>1942.79889376844</v>
      </c>
      <c r="T68" s="64" t="n">
        <f aca="false">N68+M68-Q68-R68-S68</f>
        <v>-101942.798893768</v>
      </c>
      <c r="U68" s="64" t="n">
        <f aca="false">W67</f>
        <v>260422.420657149</v>
      </c>
      <c r="V68" s="64" t="n">
        <f aca="false">MIN(U68+I68,MAX(T68,0))</f>
        <v>0</v>
      </c>
      <c r="W68" s="64" t="n">
        <f aca="false">U68+I68-V68</f>
        <v>260422.420657149</v>
      </c>
      <c r="X68" s="64" t="n">
        <f aca="false">K68+L68+V68+IF(E68,H68-I68-K68-L68,0)</f>
        <v>0</v>
      </c>
      <c r="Y68" s="61" t="b">
        <f aca="false">AND(Inputs!$C$21=1,O68/Inputs!$C$10&lt;=Inputs!$C$22,Inputs!$G$14&lt;Inputs!$C$23,W68&lt;1)</f>
        <v>0</v>
      </c>
      <c r="Z68" s="61" t="b">
        <f aca="false">OR(AND(Inputs!$G$15=1,H68/Inputs!$C$17&lt;=Inputs!$C$24),AND(Inputs!$G$15=2,C68&gt;=Inputs!$G$16))</f>
        <v>0</v>
      </c>
      <c r="AA68" s="61" t="b">
        <f aca="false">OR(AA67,Z68)</f>
        <v>0</v>
      </c>
      <c r="AB68" s="61" t="b">
        <f aca="false">AND(Z68,NOT(AA67),D68,O68&gt;0)</f>
        <v>0</v>
      </c>
      <c r="AC68" s="63" t="n">
        <f aca="false">IF(AND(Y68,NOT(E68),O68+P68&gt;0),O68/(O68+P68),1)</f>
        <v>1</v>
      </c>
      <c r="AD68" s="64" t="n">
        <f aca="false">IF(AB68,O68,IF(D68,MIN(O68,IF(E68,AC68*X68+BF67,BE68*Inputs!$G$20)),0))</f>
        <v>0</v>
      </c>
      <c r="AE68" s="64" t="n">
        <f aca="false">IF(AB68,P68,IF(D68,MAX(MIN(P68,X68-MIN(O68,AC68*X68)),0),0))</f>
        <v>0</v>
      </c>
      <c r="AF68" s="64" t="n">
        <f aca="false">IF(OR(AB68,E68),0,MAX(H68-I68-K68-L68,0))</f>
        <v>0</v>
      </c>
      <c r="AG68" s="64" t="n">
        <f aca="false">IF(E68,0,O68-AD68)</f>
        <v>0</v>
      </c>
      <c r="AH68" s="64" t="n">
        <f aca="false">IF(OR(AB68,E68),0,P68-AE68)</f>
        <v>256983.980657201</v>
      </c>
      <c r="AI68" s="64" t="n">
        <f aca="false">IF(D68,R68+AD68,0)</f>
        <v>0</v>
      </c>
      <c r="AJ68" s="65" t="n">
        <f aca="false">(C68-Inputs!$G$6)/365</f>
        <v>14.4054794520548</v>
      </c>
      <c r="AK68" s="29" t="n">
        <f aca="false">AG68/Inputs!$C$10</f>
        <v>0</v>
      </c>
      <c r="AL68" s="5"/>
      <c r="AM68" s="66" t="n">
        <f aca="false">F68</f>
        <v>0.255555555555556</v>
      </c>
      <c r="AN68" s="5"/>
      <c r="AO68" s="5" t="n">
        <f aca="false">AO67+LN(1+($G68+AO$7)*$AM68)</f>
        <v>0.365732279863673</v>
      </c>
      <c r="AP68" s="5" t="n">
        <f aca="false">AP67+LN(1+($G68+AP$7)*$AM68)</f>
        <v>0.367183606760933</v>
      </c>
      <c r="AQ68" s="5" t="n">
        <f aca="false">AQ67+LN(1+($G68+AQ$7)*$AM68)</f>
        <v>0.413802072187568</v>
      </c>
      <c r="AR68" s="5" t="n">
        <f aca="false">AR67+LN(1+($G68+AR$7)*$AM68)</f>
        <v>0.415252192890217</v>
      </c>
      <c r="AS68" s="5" t="n">
        <f aca="false">AS67+LN(1+($G68+AS$7)*$AM68)</f>
        <v>0.414329191594983</v>
      </c>
      <c r="AT68" s="5" t="n">
        <f aca="false">AT67+LN(1+($G68+AT$7)*$AM68)</f>
        <v>0.41577929907643</v>
      </c>
      <c r="AU68" s="5" t="n">
        <f aca="false">AU67+LN(1+($G68+AU$7)*$AM68)</f>
        <v>0.414329079049974</v>
      </c>
      <c r="AV68" s="5" t="n">
        <f aca="false">AV67+LN(1+($G68+AV$7)*$AM68)</f>
        <v>0.415779186534243</v>
      </c>
      <c r="AW68" s="5" t="n">
        <f aca="false">AW67+LN(1+($G68+AW$7)*$AM68)</f>
        <v>0.414329079087719</v>
      </c>
      <c r="AX68" s="5" t="n">
        <f aca="false">AX67+LN(1+($G68+AX$7)*$AM68)</f>
        <v>0.41577918657199</v>
      </c>
      <c r="AY68" s="5" t="n">
        <f aca="false">AY67+LN(1+($G68+AY$7)*$AM68)</f>
        <v>0.414329079087712</v>
      </c>
      <c r="AZ68" s="5" t="n">
        <f aca="false">AZ67+LN(1+($G68+AZ$7)*$AM68)</f>
        <v>0.415779186571977</v>
      </c>
      <c r="BA68" s="5" t="n">
        <f aca="false">BA67+LN(1+($G68+BA$7)*$AM68)</f>
        <v>0.414329079087712</v>
      </c>
      <c r="BB68" s="5" t="n">
        <f aca="false">BB67+LN(1+($G68+BB$7)*$AM68)</f>
        <v>0.415779186571977</v>
      </c>
      <c r="BC68" s="5" t="n">
        <f aca="false">BC67+LN(1+($G68+BC$7)*$AM68)</f>
        <v>0.414329079087712</v>
      </c>
      <c r="BD68" s="5" t="n">
        <f aca="false">BD67+LN(1+($G68+BD$7)*$AM68)</f>
        <v>0.415779186571977</v>
      </c>
      <c r="BE68" s="5" t="n">
        <f aca="false">IF(AB68,O68,IF(D68,MIN(O68,AC68*X68+BF67),0))</f>
        <v>0</v>
      </c>
      <c r="BF68" s="5" t="n">
        <f aca="false">IF(OR(AB68,E68),0,BE68-AD68)</f>
        <v>0</v>
      </c>
      <c r="BG68" s="5" t="n">
        <f aca="false">BG67+LN(1+($G68+BG$7)*$AM68)</f>
        <v>0.399826003440608</v>
      </c>
      <c r="BH68" s="5"/>
      <c r="BI68" s="5" t="n">
        <f aca="false">BI67+LN(1+($G68+BI$7)*$AM68)</f>
        <v>0.428828517457065</v>
      </c>
      <c r="BJ68" s="5"/>
      <c r="BK68" s="62" t="n">
        <f aca="false">C68</f>
        <v>51547</v>
      </c>
      <c r="BL68" s="67" t="n">
        <f aca="false">AI68</f>
        <v>0</v>
      </c>
    </row>
    <row r="69" customFormat="false" ht="15" hidden="false" customHeight="true" outlineLevel="0" collapsed="false">
      <c r="A69" s="3" t="n">
        <v>59</v>
      </c>
      <c r="B69" s="38" t="n">
        <f aca="false">EDATE(Inputs!$C$8,3*(A69-1))</f>
        <v>51636</v>
      </c>
      <c r="C69" s="38" t="n">
        <f aca="false">WORKDAY(B69-1,1)</f>
        <v>51636</v>
      </c>
      <c r="D69" s="61" t="b">
        <f aca="false">C69&lt;=Inputs!$C$9</f>
        <v>1</v>
      </c>
      <c r="E69" s="61" t="b">
        <f aca="false">AND(D69,NOT(D70))</f>
        <v>0</v>
      </c>
      <c r="F69" s="63" t="n">
        <f aca="false">(C69-C68)/360</f>
        <v>0.247222222222222</v>
      </c>
      <c r="G69" s="57" t="n">
        <f aca="false">Curve!D62</f>
        <v>0.02252</v>
      </c>
      <c r="H69" s="64" t="n">
        <f aca="false">AF68</f>
        <v>0</v>
      </c>
      <c r="I69" s="64" t="n">
        <f aca="false">IF(D69,H69*Inputs!$G$22,0)</f>
        <v>0</v>
      </c>
      <c r="J69" s="32" t="n">
        <f aca="false">MAX(Inputs!$G$24-(A69-1),1)</f>
        <v>1</v>
      </c>
      <c r="K69" s="64" t="n">
        <f aca="false">IF(D69,MIN(H69-I69,IF(J69&gt;1,(H69-I69)*Inputs!$G$23/((1+Inputs!$G$23)^J69-1),H69-I69)),0)</f>
        <v>0</v>
      </c>
      <c r="L69" s="64" t="n">
        <f aca="false">IF(D69,(H69-I69-K69)*Inputs!$G$21,0)</f>
        <v>0</v>
      </c>
      <c r="M69" s="64" t="n">
        <f aca="false">IF(A69&gt;Inputs!$G$13,(1-Inputs!$G$12)*INDEX($I$11:$I$190,A69-Inputs!$G$13),0)</f>
        <v>0</v>
      </c>
      <c r="N69" s="64" t="n">
        <f aca="false">IF(D69,(H69-I69)*Inputs!$G$23,0)</f>
        <v>0</v>
      </c>
      <c r="O69" s="64" t="n">
        <f aca="false">AG68</f>
        <v>0</v>
      </c>
      <c r="P69" s="64" t="n">
        <f aca="false">AH68</f>
        <v>256983.980657201</v>
      </c>
      <c r="Q69" s="64" t="n">
        <f aca="false">IF(AND(D69,O69+P69&gt;0),Inputs!$C$25+Inputs!$C$26*H69/4,0)</f>
        <v>100000</v>
      </c>
      <c r="R69" s="64" t="n">
        <f aca="false">O69*IF(Inputs!$G$19="",G69+Inputs!$C$13,MAX(Inputs!$G$19,G69+Inputs!$C$13))*F69</f>
        <v>0</v>
      </c>
      <c r="S69" s="64" t="n">
        <f aca="false">P69*(G69+Inputs!$C$14)*F69</f>
        <v>1879.44675592817</v>
      </c>
      <c r="T69" s="64" t="n">
        <f aca="false">N69+M69-Q69-R69-S69</f>
        <v>-101879.446755928</v>
      </c>
      <c r="U69" s="64" t="n">
        <f aca="false">W68</f>
        <v>260422.420657149</v>
      </c>
      <c r="V69" s="64" t="n">
        <f aca="false">MIN(U69+I69,MAX(T69,0))</f>
        <v>0</v>
      </c>
      <c r="W69" s="64" t="n">
        <f aca="false">U69+I69-V69</f>
        <v>260422.420657149</v>
      </c>
      <c r="X69" s="64" t="n">
        <f aca="false">K69+L69+V69+IF(E69,H69-I69-K69-L69,0)</f>
        <v>0</v>
      </c>
      <c r="Y69" s="61" t="b">
        <f aca="false">AND(Inputs!$C$21=1,O69/Inputs!$C$10&lt;=Inputs!$C$22,Inputs!$G$14&lt;Inputs!$C$23,W69&lt;1)</f>
        <v>0</v>
      </c>
      <c r="Z69" s="61" t="b">
        <f aca="false">OR(AND(Inputs!$G$15=1,H69/Inputs!$C$17&lt;=Inputs!$C$24),AND(Inputs!$G$15=2,C69&gt;=Inputs!$G$16))</f>
        <v>0</v>
      </c>
      <c r="AA69" s="61" t="b">
        <f aca="false">OR(AA68,Z69)</f>
        <v>0</v>
      </c>
      <c r="AB69" s="61" t="b">
        <f aca="false">AND(Z69,NOT(AA68),D69,O69&gt;0)</f>
        <v>0</v>
      </c>
      <c r="AC69" s="63" t="n">
        <f aca="false">IF(AND(Y69,NOT(E69),O69+P69&gt;0),O69/(O69+P69),1)</f>
        <v>1</v>
      </c>
      <c r="AD69" s="64" t="n">
        <f aca="false">IF(AB69,O69,IF(D69,MIN(O69,IF(E69,AC69*X69+BF68,BE69*Inputs!$G$20)),0))</f>
        <v>0</v>
      </c>
      <c r="AE69" s="64" t="n">
        <f aca="false">IF(AB69,P69,IF(D69,MAX(MIN(P69,X69-MIN(O69,AC69*X69)),0),0))</f>
        <v>0</v>
      </c>
      <c r="AF69" s="64" t="n">
        <f aca="false">IF(OR(AB69,E69),0,MAX(H69-I69-K69-L69,0))</f>
        <v>0</v>
      </c>
      <c r="AG69" s="64" t="n">
        <f aca="false">IF(E69,0,O69-AD69)</f>
        <v>0</v>
      </c>
      <c r="AH69" s="64" t="n">
        <f aca="false">IF(OR(AB69,E69),0,P69-AE69)</f>
        <v>256983.980657201</v>
      </c>
      <c r="AI69" s="64" t="n">
        <f aca="false">IF(D69,R69+AD69,0)</f>
        <v>0</v>
      </c>
      <c r="AJ69" s="65" t="n">
        <f aca="false">(C69-Inputs!$G$6)/365</f>
        <v>14.6493150684932</v>
      </c>
      <c r="AK69" s="29" t="n">
        <f aca="false">AG69/Inputs!$C$10</f>
        <v>0</v>
      </c>
      <c r="AL69" s="5"/>
      <c r="AM69" s="66" t="n">
        <f aca="false">F69</f>
        <v>0.247222222222222</v>
      </c>
      <c r="AN69" s="5"/>
      <c r="AO69" s="5" t="n">
        <f aca="false">AO68+LN(1+($G69+AO$7)*$AM69)</f>
        <v>0.371923298122115</v>
      </c>
      <c r="AP69" s="5" t="n">
        <f aca="false">AP68+LN(1+($G69+AP$7)*$AM69)</f>
        <v>0.373399194356849</v>
      </c>
      <c r="AQ69" s="5" t="n">
        <f aca="false">AQ68+LN(1+($G69+AQ$7)*$AM69)</f>
        <v>0.420806865122437</v>
      </c>
      <c r="AR69" s="5" t="n">
        <f aca="false">AR68+LN(1+($G69+AR$7)*$AM69)</f>
        <v>0.422281535177034</v>
      </c>
      <c r="AS69" s="5" t="n">
        <f aca="false">AS68+LN(1+($G69+AS$7)*$AM69)</f>
        <v>0.421342908226777</v>
      </c>
      <c r="AT69" s="5" t="n">
        <f aca="false">AT68+LN(1+($G69+AT$7)*$AM69)</f>
        <v>0.422817564841104</v>
      </c>
      <c r="AU69" s="5" t="n">
        <f aca="false">AU68+LN(1+($G69+AU$7)*$AM69)</f>
        <v>0.421342793776475</v>
      </c>
      <c r="AV69" s="5" t="n">
        <f aca="false">AV68+LN(1+($G69+AV$7)*$AM69)</f>
        <v>0.42281745039367</v>
      </c>
      <c r="AW69" s="5" t="n">
        <f aca="false">AW68+LN(1+($G69+AW$7)*$AM69)</f>
        <v>0.421342793814858</v>
      </c>
      <c r="AX69" s="5" t="n">
        <f aca="false">AX68+LN(1+($G69+AX$7)*$AM69)</f>
        <v>0.422817450432056</v>
      </c>
      <c r="AY69" s="5" t="n">
        <f aca="false">AY68+LN(1+($G69+AY$7)*$AM69)</f>
        <v>0.421342793814851</v>
      </c>
      <c r="AZ69" s="5" t="n">
        <f aca="false">AZ68+LN(1+($G69+AZ$7)*$AM69)</f>
        <v>0.422817450432043</v>
      </c>
      <c r="BA69" s="5" t="n">
        <f aca="false">BA68+LN(1+($G69+BA$7)*$AM69)</f>
        <v>0.421342793814851</v>
      </c>
      <c r="BB69" s="5" t="n">
        <f aca="false">BB68+LN(1+($G69+BB$7)*$AM69)</f>
        <v>0.422817450432043</v>
      </c>
      <c r="BC69" s="5" t="n">
        <f aca="false">BC68+LN(1+($G69+BC$7)*$AM69)</f>
        <v>0.421342793814851</v>
      </c>
      <c r="BD69" s="5" t="n">
        <f aca="false">BD68+LN(1+($G69+BD$7)*$AM69)</f>
        <v>0.422817450432043</v>
      </c>
      <c r="BE69" s="5" t="n">
        <f aca="false">IF(AB69,O69,IF(D69,MIN(O69,AC69*X69+BF68),0))</f>
        <v>0</v>
      </c>
      <c r="BF69" s="5" t="n">
        <f aca="false">IF(OR(AB69,E69),0,BE69-AD69)</f>
        <v>0</v>
      </c>
      <c r="BG69" s="5" t="n">
        <f aca="false">BG68+LN(1+($G69+BG$7)*$AM69)</f>
        <v>0.406594193686486</v>
      </c>
      <c r="BH69" s="5"/>
      <c r="BI69" s="5" t="n">
        <f aca="false">BI68+LN(1+($G69+BI$7)*$AM69)</f>
        <v>0.436087696397991</v>
      </c>
      <c r="BJ69" s="5"/>
      <c r="BK69" s="62" t="n">
        <f aca="false">C69</f>
        <v>51636</v>
      </c>
      <c r="BL69" s="67" t="n">
        <f aca="false">AI69</f>
        <v>0</v>
      </c>
    </row>
    <row r="70" customFormat="false" ht="15" hidden="false" customHeight="true" outlineLevel="0" collapsed="false">
      <c r="A70" s="3" t="n">
        <v>60</v>
      </c>
      <c r="B70" s="38" t="n">
        <f aca="false">EDATE(Inputs!$C$8,3*(A70-1))</f>
        <v>51728</v>
      </c>
      <c r="C70" s="38" t="n">
        <f aca="false">WORKDAY(B70-1,1)</f>
        <v>51728</v>
      </c>
      <c r="D70" s="61" t="b">
        <f aca="false">C70&lt;=Inputs!$C$9</f>
        <v>1</v>
      </c>
      <c r="E70" s="61" t="b">
        <f aca="false">AND(D70,NOT(D71))</f>
        <v>0</v>
      </c>
      <c r="F70" s="63" t="n">
        <f aca="false">(C70-C69)/360</f>
        <v>0.255555555555556</v>
      </c>
      <c r="G70" s="57" t="n">
        <f aca="false">Curve!D63</f>
        <v>0.02252</v>
      </c>
      <c r="H70" s="64" t="n">
        <f aca="false">AF69</f>
        <v>0</v>
      </c>
      <c r="I70" s="64" t="n">
        <f aca="false">IF(D70,H70*Inputs!$G$22,0)</f>
        <v>0</v>
      </c>
      <c r="J70" s="32" t="n">
        <f aca="false">MAX(Inputs!$G$24-(A70-1),1)</f>
        <v>1</v>
      </c>
      <c r="K70" s="64" t="n">
        <f aca="false">IF(D70,MIN(H70-I70,IF(J70&gt;1,(H70-I70)*Inputs!$G$23/((1+Inputs!$G$23)^J70-1),H70-I70)),0)</f>
        <v>0</v>
      </c>
      <c r="L70" s="64" t="n">
        <f aca="false">IF(D70,(H70-I70-K70)*Inputs!$G$21,0)</f>
        <v>0</v>
      </c>
      <c r="M70" s="64" t="n">
        <f aca="false">IF(A70&gt;Inputs!$G$13,(1-Inputs!$G$12)*INDEX($I$11:$I$190,A70-Inputs!$G$13),0)</f>
        <v>0</v>
      </c>
      <c r="N70" s="64" t="n">
        <f aca="false">IF(D70,(H70-I70)*Inputs!$G$23,0)</f>
        <v>0</v>
      </c>
      <c r="O70" s="64" t="n">
        <f aca="false">AG69</f>
        <v>0</v>
      </c>
      <c r="P70" s="64" t="n">
        <f aca="false">AH69</f>
        <v>256983.980657201</v>
      </c>
      <c r="Q70" s="64" t="n">
        <f aca="false">IF(AND(D70,O70+P70&gt;0),Inputs!$C$25+Inputs!$C$26*H70/4,0)</f>
        <v>100000</v>
      </c>
      <c r="R70" s="64" t="n">
        <f aca="false">O70*IF(Inputs!$G$19="",G70+Inputs!$C$13,MAX(Inputs!$G$19,G70+Inputs!$C$13))*F70</f>
        <v>0</v>
      </c>
      <c r="S70" s="64" t="n">
        <f aca="false">P70*(G70+Inputs!$C$14)*F70</f>
        <v>1942.79889376844</v>
      </c>
      <c r="T70" s="64" t="n">
        <f aca="false">N70+M70-Q70-R70-S70</f>
        <v>-101942.798893768</v>
      </c>
      <c r="U70" s="64" t="n">
        <f aca="false">W69</f>
        <v>260422.420657149</v>
      </c>
      <c r="V70" s="64" t="n">
        <f aca="false">MIN(U70+I70,MAX(T70,0))</f>
        <v>0</v>
      </c>
      <c r="W70" s="64" t="n">
        <f aca="false">U70+I70-V70</f>
        <v>260422.420657149</v>
      </c>
      <c r="X70" s="64" t="n">
        <f aca="false">K70+L70+V70+IF(E70,H70-I70-K70-L70,0)</f>
        <v>0</v>
      </c>
      <c r="Y70" s="61" t="b">
        <f aca="false">AND(Inputs!$C$21=1,O70/Inputs!$C$10&lt;=Inputs!$C$22,Inputs!$G$14&lt;Inputs!$C$23,W70&lt;1)</f>
        <v>0</v>
      </c>
      <c r="Z70" s="61" t="b">
        <f aca="false">OR(AND(Inputs!$G$15=1,H70/Inputs!$C$17&lt;=Inputs!$C$24),AND(Inputs!$G$15=2,C70&gt;=Inputs!$G$16))</f>
        <v>0</v>
      </c>
      <c r="AA70" s="61" t="b">
        <f aca="false">OR(AA69,Z70)</f>
        <v>0</v>
      </c>
      <c r="AB70" s="61" t="b">
        <f aca="false">AND(Z70,NOT(AA69),D70,O70&gt;0)</f>
        <v>0</v>
      </c>
      <c r="AC70" s="63" t="n">
        <f aca="false">IF(AND(Y70,NOT(E70),O70+P70&gt;0),O70/(O70+P70),1)</f>
        <v>1</v>
      </c>
      <c r="AD70" s="64" t="n">
        <f aca="false">IF(AB70,O70,IF(D70,MIN(O70,IF(E70,AC70*X70+BF69,BE70*Inputs!$G$20)),0))</f>
        <v>0</v>
      </c>
      <c r="AE70" s="64" t="n">
        <f aca="false">IF(AB70,P70,IF(D70,MAX(MIN(P70,X70-MIN(O70,AC70*X70)),0),0))</f>
        <v>0</v>
      </c>
      <c r="AF70" s="64" t="n">
        <f aca="false">IF(OR(AB70,E70),0,MAX(H70-I70-K70-L70,0))</f>
        <v>0</v>
      </c>
      <c r="AG70" s="64" t="n">
        <f aca="false">IF(E70,0,O70-AD70)</f>
        <v>0</v>
      </c>
      <c r="AH70" s="64" t="n">
        <f aca="false">IF(OR(AB70,E70),0,P70-AE70)</f>
        <v>256983.980657201</v>
      </c>
      <c r="AI70" s="64" t="n">
        <f aca="false">IF(D70,R70+AD70,0)</f>
        <v>0</v>
      </c>
      <c r="AJ70" s="65" t="n">
        <f aca="false">(C70-Inputs!$G$6)/365</f>
        <v>14.9013698630137</v>
      </c>
      <c r="AK70" s="29" t="n">
        <f aca="false">AG70/Inputs!$C$10</f>
        <v>0</v>
      </c>
      <c r="AL70" s="5"/>
      <c r="AM70" s="66" t="n">
        <f aca="false">F70</f>
        <v>0.255555555555556</v>
      </c>
      <c r="AN70" s="5"/>
      <c r="AO70" s="5" t="n">
        <f aca="false">AO69+LN(1+($G70+AO$7)*$AM70)</f>
        <v>0.378322336093273</v>
      </c>
      <c r="AP70" s="5" t="n">
        <f aca="false">AP69+LN(1+($G70+AP$7)*$AM70)</f>
        <v>0.379823624552312</v>
      </c>
      <c r="AQ70" s="5" t="n">
        <f aca="false">AQ69+LN(1+($G70+AQ$7)*$AM70)</f>
        <v>0.428046921949918</v>
      </c>
      <c r="AR70" s="5" t="n">
        <f aca="false">AR69+LN(1+($G70+AR$7)*$AM70)</f>
        <v>0.42954696288273</v>
      </c>
      <c r="AS70" s="5" t="n">
        <f aca="false">AS69+LN(1+($G70+AS$7)*$AM70)</f>
        <v>0.428592187378643</v>
      </c>
      <c r="AT70" s="5" t="n">
        <f aca="false">AT69+LN(1+($G70+AT$7)*$AM70)</f>
        <v>0.430092214637211</v>
      </c>
      <c r="AU70" s="5" t="n">
        <f aca="false">AU69+LN(1+($G70+AU$7)*$AM70)</f>
        <v>0.428592070959287</v>
      </c>
      <c r="AV70" s="5" t="n">
        <f aca="false">AV69+LN(1+($G70+AV$7)*$AM70)</f>
        <v>0.430092098220773</v>
      </c>
      <c r="AW70" s="5" t="n">
        <f aca="false">AW69+LN(1+($G70+AW$7)*$AM70)</f>
        <v>0.428592070998331</v>
      </c>
      <c r="AX70" s="5" t="n">
        <f aca="false">AX69+LN(1+($G70+AX$7)*$AM70)</f>
        <v>0.43009209825982</v>
      </c>
      <c r="AY70" s="5" t="n">
        <f aca="false">AY69+LN(1+($G70+AY$7)*$AM70)</f>
        <v>0.428592070998324</v>
      </c>
      <c r="AZ70" s="5" t="n">
        <f aca="false">AZ69+LN(1+($G70+AZ$7)*$AM70)</f>
        <v>0.430092098259806</v>
      </c>
      <c r="BA70" s="5" t="n">
        <f aca="false">BA69+LN(1+($G70+BA$7)*$AM70)</f>
        <v>0.428592070998324</v>
      </c>
      <c r="BB70" s="5" t="n">
        <f aca="false">BB69+LN(1+($G70+BB$7)*$AM70)</f>
        <v>0.430092098259806</v>
      </c>
      <c r="BC70" s="5" t="n">
        <f aca="false">BC69+LN(1+($G70+BC$7)*$AM70)</f>
        <v>0.428592070998324</v>
      </c>
      <c r="BD70" s="5" t="n">
        <f aca="false">BD69+LN(1+($G70+BD$7)*$AM70)</f>
        <v>0.430092098259806</v>
      </c>
      <c r="BE70" s="5" t="n">
        <f aca="false">IF(AB70,O70,IF(D70,MIN(O70,AC70*X70+BF69),0))</f>
        <v>0</v>
      </c>
      <c r="BF70" s="5" t="n">
        <f aca="false">IF(OR(AB70,E70),0,BE70-AD70)</f>
        <v>0</v>
      </c>
      <c r="BG70" s="5" t="n">
        <f aca="false">BG69+LN(1+($G70+BG$7)*$AM70)</f>
        <v>0.413589729018936</v>
      </c>
      <c r="BH70" s="5"/>
      <c r="BI70" s="5" t="n">
        <f aca="false">BI69+LN(1+($G70+BI$7)*$AM70)</f>
        <v>0.443590651063891</v>
      </c>
      <c r="BJ70" s="5"/>
      <c r="BK70" s="62" t="n">
        <f aca="false">C70</f>
        <v>51728</v>
      </c>
      <c r="BL70" s="67" t="n">
        <f aca="false">AI70</f>
        <v>0</v>
      </c>
    </row>
    <row r="71" customFormat="false" ht="15" hidden="false" customHeight="true" outlineLevel="0" collapsed="false">
      <c r="A71" s="3" t="n">
        <v>61</v>
      </c>
      <c r="B71" s="38" t="n">
        <f aca="false">EDATE(Inputs!$C$8,3*(A71-1))</f>
        <v>51820</v>
      </c>
      <c r="C71" s="38" t="n">
        <f aca="false">WORKDAY(B71-1,1)</f>
        <v>51820</v>
      </c>
      <c r="D71" s="61" t="b">
        <f aca="false">C71&lt;=Inputs!$C$9</f>
        <v>1</v>
      </c>
      <c r="E71" s="61" t="b">
        <f aca="false">AND(D71,NOT(D72))</f>
        <v>0</v>
      </c>
      <c r="F71" s="63" t="n">
        <f aca="false">(C71-C70)/360</f>
        <v>0.255555555555556</v>
      </c>
      <c r="G71" s="57" t="n">
        <f aca="false">Curve!D64</f>
        <v>0.02252</v>
      </c>
      <c r="H71" s="64" t="n">
        <f aca="false">AF70</f>
        <v>0</v>
      </c>
      <c r="I71" s="64" t="n">
        <f aca="false">IF(D71,H71*Inputs!$G$22,0)</f>
        <v>0</v>
      </c>
      <c r="J71" s="32" t="n">
        <f aca="false">MAX(Inputs!$G$24-(A71-1),1)</f>
        <v>1</v>
      </c>
      <c r="K71" s="64" t="n">
        <f aca="false">IF(D71,MIN(H71-I71,IF(J71&gt;1,(H71-I71)*Inputs!$G$23/((1+Inputs!$G$23)^J71-1),H71-I71)),0)</f>
        <v>0</v>
      </c>
      <c r="L71" s="64" t="n">
        <f aca="false">IF(D71,(H71-I71-K71)*Inputs!$G$21,0)</f>
        <v>0</v>
      </c>
      <c r="M71" s="64" t="n">
        <f aca="false">IF(A71&gt;Inputs!$G$13,(1-Inputs!$G$12)*INDEX($I$11:$I$190,A71-Inputs!$G$13),0)</f>
        <v>0</v>
      </c>
      <c r="N71" s="64" t="n">
        <f aca="false">IF(D71,(H71-I71)*Inputs!$G$23,0)</f>
        <v>0</v>
      </c>
      <c r="O71" s="64" t="n">
        <f aca="false">AG70</f>
        <v>0</v>
      </c>
      <c r="P71" s="64" t="n">
        <f aca="false">AH70</f>
        <v>256983.980657201</v>
      </c>
      <c r="Q71" s="64" t="n">
        <f aca="false">IF(AND(D71,O71+P71&gt;0),Inputs!$C$25+Inputs!$C$26*H71/4,0)</f>
        <v>100000</v>
      </c>
      <c r="R71" s="64" t="n">
        <f aca="false">O71*IF(Inputs!$G$19="",G71+Inputs!$C$13,MAX(Inputs!$G$19,G71+Inputs!$C$13))*F71</f>
        <v>0</v>
      </c>
      <c r="S71" s="64" t="n">
        <f aca="false">P71*(G71+Inputs!$C$14)*F71</f>
        <v>1942.79889376844</v>
      </c>
      <c r="T71" s="64" t="n">
        <f aca="false">N71+M71-Q71-R71-S71</f>
        <v>-101942.798893768</v>
      </c>
      <c r="U71" s="64" t="n">
        <f aca="false">W70</f>
        <v>260422.420657149</v>
      </c>
      <c r="V71" s="64" t="n">
        <f aca="false">MIN(U71+I71,MAX(T71,0))</f>
        <v>0</v>
      </c>
      <c r="W71" s="64" t="n">
        <f aca="false">U71+I71-V71</f>
        <v>260422.420657149</v>
      </c>
      <c r="X71" s="64" t="n">
        <f aca="false">K71+L71+V71+IF(E71,H71-I71-K71-L71,0)</f>
        <v>0</v>
      </c>
      <c r="Y71" s="61" t="b">
        <f aca="false">AND(Inputs!$C$21=1,O71/Inputs!$C$10&lt;=Inputs!$C$22,Inputs!$G$14&lt;Inputs!$C$23,W71&lt;1)</f>
        <v>0</v>
      </c>
      <c r="Z71" s="61" t="b">
        <f aca="false">OR(AND(Inputs!$G$15=1,H71/Inputs!$C$17&lt;=Inputs!$C$24),AND(Inputs!$G$15=2,C71&gt;=Inputs!$G$16))</f>
        <v>0</v>
      </c>
      <c r="AA71" s="61" t="b">
        <f aca="false">OR(AA70,Z71)</f>
        <v>0</v>
      </c>
      <c r="AB71" s="61" t="b">
        <f aca="false">AND(Z71,NOT(AA70),D71,O71&gt;0)</f>
        <v>0</v>
      </c>
      <c r="AC71" s="63" t="n">
        <f aca="false">IF(AND(Y71,NOT(E71),O71+P71&gt;0),O71/(O71+P71),1)</f>
        <v>1</v>
      </c>
      <c r="AD71" s="64" t="n">
        <f aca="false">IF(AB71,O71,IF(D71,MIN(O71,IF(E71,AC71*X71+BF70,BE71*Inputs!$G$20)),0))</f>
        <v>0</v>
      </c>
      <c r="AE71" s="64" t="n">
        <f aca="false">IF(AB71,P71,IF(D71,MAX(MIN(P71,X71-MIN(O71,AC71*X71)),0),0))</f>
        <v>0</v>
      </c>
      <c r="AF71" s="64" t="n">
        <f aca="false">IF(OR(AB71,E71),0,MAX(H71-I71-K71-L71,0))</f>
        <v>0</v>
      </c>
      <c r="AG71" s="64" t="n">
        <f aca="false">IF(E71,0,O71-AD71)</f>
        <v>0</v>
      </c>
      <c r="AH71" s="64" t="n">
        <f aca="false">IF(OR(AB71,E71),0,P71-AE71)</f>
        <v>256983.980657201</v>
      </c>
      <c r="AI71" s="64" t="n">
        <f aca="false">IF(D71,R71+AD71,0)</f>
        <v>0</v>
      </c>
      <c r="AJ71" s="65" t="n">
        <f aca="false">(C71-Inputs!$G$6)/365</f>
        <v>15.1534246575342</v>
      </c>
      <c r="AK71" s="29" t="n">
        <f aca="false">AG71/Inputs!$C$10</f>
        <v>0</v>
      </c>
      <c r="AL71" s="5"/>
      <c r="AM71" s="66" t="n">
        <f aca="false">F71</f>
        <v>0.255555555555556</v>
      </c>
      <c r="AN71" s="5"/>
      <c r="AO71" s="5" t="n">
        <f aca="false">AO70+LN(1+($G71+AO$7)*$AM71)</f>
        <v>0.38472137406443</v>
      </c>
      <c r="AP71" s="5" t="n">
        <f aca="false">AP70+LN(1+($G71+AP$7)*$AM71)</f>
        <v>0.386248054747776</v>
      </c>
      <c r="AQ71" s="5" t="n">
        <f aca="false">AQ70+LN(1+($G71+AQ$7)*$AM71)</f>
        <v>0.435286978777398</v>
      </c>
      <c r="AR71" s="5" t="n">
        <f aca="false">AR70+LN(1+($G71+AR$7)*$AM71)</f>
        <v>0.436812390588425</v>
      </c>
      <c r="AS71" s="5" t="n">
        <f aca="false">AS70+LN(1+($G71+AS$7)*$AM71)</f>
        <v>0.43584146653051</v>
      </c>
      <c r="AT71" s="5" t="n">
        <f aca="false">AT70+LN(1+($G71+AT$7)*$AM71)</f>
        <v>0.437366864433318</v>
      </c>
      <c r="AU71" s="5" t="n">
        <f aca="false">AU70+LN(1+($G71+AU$7)*$AM71)</f>
        <v>0.435841348142099</v>
      </c>
      <c r="AV71" s="5" t="n">
        <f aca="false">AV70+LN(1+($G71+AV$7)*$AM71)</f>
        <v>0.437366746047876</v>
      </c>
      <c r="AW71" s="5" t="n">
        <f aca="false">AW70+LN(1+($G71+AW$7)*$AM71)</f>
        <v>0.435841348181804</v>
      </c>
      <c r="AX71" s="5" t="n">
        <f aca="false">AX70+LN(1+($G71+AX$7)*$AM71)</f>
        <v>0.437366746087583</v>
      </c>
      <c r="AY71" s="5" t="n">
        <f aca="false">AY70+LN(1+($G71+AY$7)*$AM71)</f>
        <v>0.435841348181796</v>
      </c>
      <c r="AZ71" s="5" t="n">
        <f aca="false">AZ70+LN(1+($G71+AZ$7)*$AM71)</f>
        <v>0.437366746087569</v>
      </c>
      <c r="BA71" s="5" t="n">
        <f aca="false">BA70+LN(1+($G71+BA$7)*$AM71)</f>
        <v>0.435841348181796</v>
      </c>
      <c r="BB71" s="5" t="n">
        <f aca="false">BB70+LN(1+($G71+BB$7)*$AM71)</f>
        <v>0.437366746087569</v>
      </c>
      <c r="BC71" s="5" t="n">
        <f aca="false">BC70+LN(1+($G71+BC$7)*$AM71)</f>
        <v>0.435841348181796</v>
      </c>
      <c r="BD71" s="5" t="n">
        <f aca="false">BD70+LN(1+($G71+BD$7)*$AM71)</f>
        <v>0.437366746087569</v>
      </c>
      <c r="BE71" s="5" t="n">
        <f aca="false">IF(AB71,O71,IF(D71,MIN(O71,AC71*X71+BF70),0))</f>
        <v>0</v>
      </c>
      <c r="BF71" s="5" t="n">
        <f aca="false">IF(OR(AB71,E71),0,BE71-AD71)</f>
        <v>0</v>
      </c>
      <c r="BG71" s="5" t="n">
        <f aca="false">BG70+LN(1+($G71+BG$7)*$AM71)</f>
        <v>0.420585264351387</v>
      </c>
      <c r="BH71" s="5"/>
      <c r="BI71" s="5" t="n">
        <f aca="false">BI70+LN(1+($G71+BI$7)*$AM71)</f>
        <v>0.451093605729791</v>
      </c>
      <c r="BJ71" s="5"/>
      <c r="BK71" s="62" t="n">
        <f aca="false">C71</f>
        <v>51820</v>
      </c>
      <c r="BL71" s="67" t="n">
        <f aca="false">AI71</f>
        <v>0</v>
      </c>
    </row>
    <row r="72" customFormat="false" ht="15" hidden="false" customHeight="true" outlineLevel="0" collapsed="false">
      <c r="A72" s="3" t="n">
        <v>62</v>
      </c>
      <c r="B72" s="38" t="n">
        <f aca="false">EDATE(Inputs!$C$8,3*(A72-1))</f>
        <v>51912</v>
      </c>
      <c r="C72" s="38" t="n">
        <f aca="false">WORKDAY(B72-1,1)</f>
        <v>51914</v>
      </c>
      <c r="D72" s="61" t="b">
        <f aca="false">C72&lt;=Inputs!$C$9</f>
        <v>1</v>
      </c>
      <c r="E72" s="61" t="b">
        <f aca="false">AND(D72,NOT(D73))</f>
        <v>0</v>
      </c>
      <c r="F72" s="63" t="n">
        <f aca="false">(C72-C71)/360</f>
        <v>0.261111111111111</v>
      </c>
      <c r="G72" s="57" t="n">
        <f aca="false">Curve!D65</f>
        <v>0.02252</v>
      </c>
      <c r="H72" s="64" t="n">
        <f aca="false">AF71</f>
        <v>0</v>
      </c>
      <c r="I72" s="64" t="n">
        <f aca="false">IF(D72,H72*Inputs!$G$22,0)</f>
        <v>0</v>
      </c>
      <c r="J72" s="32" t="n">
        <f aca="false">MAX(Inputs!$G$24-(A72-1),1)</f>
        <v>1</v>
      </c>
      <c r="K72" s="64" t="n">
        <f aca="false">IF(D72,MIN(H72-I72,IF(J72&gt;1,(H72-I72)*Inputs!$G$23/((1+Inputs!$G$23)^J72-1),H72-I72)),0)</f>
        <v>0</v>
      </c>
      <c r="L72" s="64" t="n">
        <f aca="false">IF(D72,(H72-I72-K72)*Inputs!$G$21,0)</f>
        <v>0</v>
      </c>
      <c r="M72" s="64" t="n">
        <f aca="false">IF(A72&gt;Inputs!$G$13,(1-Inputs!$G$12)*INDEX($I$11:$I$190,A72-Inputs!$G$13),0)</f>
        <v>0</v>
      </c>
      <c r="N72" s="64" t="n">
        <f aca="false">IF(D72,(H72-I72)*Inputs!$G$23,0)</f>
        <v>0</v>
      </c>
      <c r="O72" s="64" t="n">
        <f aca="false">AG71</f>
        <v>0</v>
      </c>
      <c r="P72" s="64" t="n">
        <f aca="false">AH71</f>
        <v>256983.980657201</v>
      </c>
      <c r="Q72" s="64" t="n">
        <f aca="false">IF(AND(D72,O72+P72&gt;0),Inputs!$C$25+Inputs!$C$26*H72/4,0)</f>
        <v>100000</v>
      </c>
      <c r="R72" s="64" t="n">
        <f aca="false">O72*IF(Inputs!$G$19="",G72+Inputs!$C$13,MAX(Inputs!$G$19,G72+Inputs!$C$13))*F72</f>
        <v>0</v>
      </c>
      <c r="S72" s="64" t="n">
        <f aca="false">P72*(G72+Inputs!$C$14)*F72</f>
        <v>1985.03365232862</v>
      </c>
      <c r="T72" s="64" t="n">
        <f aca="false">N72+M72-Q72-R72-S72</f>
        <v>-101985.033652329</v>
      </c>
      <c r="U72" s="64" t="n">
        <f aca="false">W71</f>
        <v>260422.420657149</v>
      </c>
      <c r="V72" s="64" t="n">
        <f aca="false">MIN(U72+I72,MAX(T72,0))</f>
        <v>0</v>
      </c>
      <c r="W72" s="64" t="n">
        <f aca="false">U72+I72-V72</f>
        <v>260422.420657149</v>
      </c>
      <c r="X72" s="64" t="n">
        <f aca="false">K72+L72+V72+IF(E72,H72-I72-K72-L72,0)</f>
        <v>0</v>
      </c>
      <c r="Y72" s="61" t="b">
        <f aca="false">AND(Inputs!$C$21=1,O72/Inputs!$C$10&lt;=Inputs!$C$22,Inputs!$G$14&lt;Inputs!$C$23,W72&lt;1)</f>
        <v>0</v>
      </c>
      <c r="Z72" s="61" t="b">
        <f aca="false">OR(AND(Inputs!$G$15=1,H72/Inputs!$C$17&lt;=Inputs!$C$24),AND(Inputs!$G$15=2,C72&gt;=Inputs!$G$16))</f>
        <v>0</v>
      </c>
      <c r="AA72" s="61" t="b">
        <f aca="false">OR(AA71,Z72)</f>
        <v>0</v>
      </c>
      <c r="AB72" s="61" t="b">
        <f aca="false">AND(Z72,NOT(AA71),D72,O72&gt;0)</f>
        <v>0</v>
      </c>
      <c r="AC72" s="63" t="n">
        <f aca="false">IF(AND(Y72,NOT(E72),O72+P72&gt;0),O72/(O72+P72),1)</f>
        <v>1</v>
      </c>
      <c r="AD72" s="64" t="n">
        <f aca="false">IF(AB72,O72,IF(D72,MIN(O72,IF(E72,AC72*X72+BF71,BE72*Inputs!$G$20)),0))</f>
        <v>0</v>
      </c>
      <c r="AE72" s="64" t="n">
        <f aca="false">IF(AB72,P72,IF(D72,MAX(MIN(P72,X72-MIN(O72,AC72*X72)),0),0))</f>
        <v>0</v>
      </c>
      <c r="AF72" s="64" t="n">
        <f aca="false">IF(OR(AB72,E72),0,MAX(H72-I72-K72-L72,0))</f>
        <v>0</v>
      </c>
      <c r="AG72" s="64" t="n">
        <f aca="false">IF(E72,0,O72-AD72)</f>
        <v>0</v>
      </c>
      <c r="AH72" s="64" t="n">
        <f aca="false">IF(OR(AB72,E72),0,P72-AE72)</f>
        <v>256983.980657201</v>
      </c>
      <c r="AI72" s="64" t="n">
        <f aca="false">IF(D72,R72+AD72,0)</f>
        <v>0</v>
      </c>
      <c r="AJ72" s="65" t="n">
        <f aca="false">(C72-Inputs!$G$6)/365</f>
        <v>15.4109589041096</v>
      </c>
      <c r="AK72" s="29" t="n">
        <f aca="false">AG72/Inputs!$C$10</f>
        <v>0</v>
      </c>
      <c r="AL72" s="5"/>
      <c r="AM72" s="66" t="n">
        <f aca="false">F72</f>
        <v>0.261111111111111</v>
      </c>
      <c r="AN72" s="5"/>
      <c r="AO72" s="5" t="n">
        <f aca="false">AO71+LN(1+($G72+AO$7)*$AM72)</f>
        <v>0.391259067807842</v>
      </c>
      <c r="AP72" s="5" t="n">
        <f aca="false">AP71+LN(1+($G72+AP$7)*$AM72)</f>
        <v>0.39281168911619</v>
      </c>
      <c r="AQ72" s="5" t="n">
        <f aca="false">AQ71+LN(1+($G72+AQ$7)*$AM72)</f>
        <v>0.44268384745608</v>
      </c>
      <c r="AR72" s="5" t="n">
        <f aca="false">AR71+LN(1+($G72+AR$7)*$AM72)</f>
        <v>0.444235177614434</v>
      </c>
      <c r="AS72" s="5" t="n">
        <f aca="false">AS71+LN(1+($G72+AS$7)*$AM72)</f>
        <v>0.443247756540459</v>
      </c>
      <c r="AT72" s="5" t="n">
        <f aca="false">AT71+LN(1+($G72+AT$7)*$AM72)</f>
        <v>0.444799072546414</v>
      </c>
      <c r="AU72" s="5" t="n">
        <f aca="false">AU71+LN(1+($G72+AU$7)*$AM72)</f>
        <v>0.443247636140505</v>
      </c>
      <c r="AV72" s="5" t="n">
        <f aca="false">AV71+LN(1+($G72+AV$7)*$AM72)</f>
        <v>0.44479895214948</v>
      </c>
      <c r="AW72" s="5" t="n">
        <f aca="false">AW71+LN(1+($G72+AW$7)*$AM72)</f>
        <v>0.443247636180884</v>
      </c>
      <c r="AX72" s="5" t="n">
        <f aca="false">AX71+LN(1+($G72+AX$7)*$AM72)</f>
        <v>0.444798952189862</v>
      </c>
      <c r="AY72" s="5" t="n">
        <f aca="false">AY71+LN(1+($G72+AY$7)*$AM72)</f>
        <v>0.443247636180877</v>
      </c>
      <c r="AZ72" s="5" t="n">
        <f aca="false">AZ71+LN(1+($G72+AZ$7)*$AM72)</f>
        <v>0.444798952189848</v>
      </c>
      <c r="BA72" s="5" t="n">
        <f aca="false">BA71+LN(1+($G72+BA$7)*$AM72)</f>
        <v>0.443247636180877</v>
      </c>
      <c r="BB72" s="5" t="n">
        <f aca="false">BB71+LN(1+($G72+BB$7)*$AM72)</f>
        <v>0.444798952189848</v>
      </c>
      <c r="BC72" s="5" t="n">
        <f aca="false">BC71+LN(1+($G72+BC$7)*$AM72)</f>
        <v>0.443247636180877</v>
      </c>
      <c r="BD72" s="5" t="n">
        <f aca="false">BD71+LN(1+($G72+BD$7)*$AM72)</f>
        <v>0.444798952189848</v>
      </c>
      <c r="BE72" s="5" t="n">
        <f aca="false">IF(AB72,O72,IF(D72,MIN(O72,AC72*X72+BF71),0))</f>
        <v>0</v>
      </c>
      <c r="BF72" s="5" t="n">
        <f aca="false">IF(OR(AB72,E72),0,BE72-AD72)</f>
        <v>0</v>
      </c>
      <c r="BG72" s="5" t="n">
        <f aca="false">BG71+LN(1+($G72+BG$7)*$AM72)</f>
        <v>0.427732334365636</v>
      </c>
      <c r="BH72" s="5"/>
      <c r="BI72" s="5" t="n">
        <f aca="false">BI71+LN(1+($G72+BI$7)*$AM72)</f>
        <v>0.458759044537152</v>
      </c>
      <c r="BJ72" s="5"/>
      <c r="BK72" s="62" t="n">
        <f aca="false">C72</f>
        <v>51914</v>
      </c>
      <c r="BL72" s="67" t="n">
        <f aca="false">AI72</f>
        <v>0</v>
      </c>
    </row>
    <row r="73" customFormat="false" ht="15" hidden="false" customHeight="true" outlineLevel="0" collapsed="false">
      <c r="A73" s="3" t="n">
        <v>63</v>
      </c>
      <c r="B73" s="38" t="n">
        <f aca="false">EDATE(Inputs!$C$8,3*(A73-1))</f>
        <v>52001</v>
      </c>
      <c r="C73" s="38" t="n">
        <f aca="false">WORKDAY(B73-1,1)</f>
        <v>52001</v>
      </c>
      <c r="D73" s="61" t="b">
        <f aca="false">C73&lt;=Inputs!$C$9</f>
        <v>1</v>
      </c>
      <c r="E73" s="61" t="b">
        <f aca="false">AND(D73,NOT(D74))</f>
        <v>0</v>
      </c>
      <c r="F73" s="63" t="n">
        <f aca="false">(C73-C72)/360</f>
        <v>0.241666666666667</v>
      </c>
      <c r="G73" s="57" t="n">
        <f aca="false">Curve!D66</f>
        <v>0.02252</v>
      </c>
      <c r="H73" s="64" t="n">
        <f aca="false">AF72</f>
        <v>0</v>
      </c>
      <c r="I73" s="64" t="n">
        <f aca="false">IF(D73,H73*Inputs!$G$22,0)</f>
        <v>0</v>
      </c>
      <c r="J73" s="32" t="n">
        <f aca="false">MAX(Inputs!$G$24-(A73-1),1)</f>
        <v>1</v>
      </c>
      <c r="K73" s="64" t="n">
        <f aca="false">IF(D73,MIN(H73-I73,IF(J73&gt;1,(H73-I73)*Inputs!$G$23/((1+Inputs!$G$23)^J73-1),H73-I73)),0)</f>
        <v>0</v>
      </c>
      <c r="L73" s="64" t="n">
        <f aca="false">IF(D73,(H73-I73-K73)*Inputs!$G$21,0)</f>
        <v>0</v>
      </c>
      <c r="M73" s="64" t="n">
        <f aca="false">IF(A73&gt;Inputs!$G$13,(1-Inputs!$G$12)*INDEX($I$11:$I$190,A73-Inputs!$G$13),0)</f>
        <v>0</v>
      </c>
      <c r="N73" s="64" t="n">
        <f aca="false">IF(D73,(H73-I73)*Inputs!$G$23,0)</f>
        <v>0</v>
      </c>
      <c r="O73" s="64" t="n">
        <f aca="false">AG72</f>
        <v>0</v>
      </c>
      <c r="P73" s="64" t="n">
        <f aca="false">AH72</f>
        <v>256983.980657201</v>
      </c>
      <c r="Q73" s="64" t="n">
        <f aca="false">IF(AND(D73,O73+P73&gt;0),Inputs!$C$25+Inputs!$C$26*H73/4,0)</f>
        <v>100000</v>
      </c>
      <c r="R73" s="64" t="n">
        <f aca="false">O73*IF(Inputs!$G$19="",G73+Inputs!$C$13,MAX(Inputs!$G$19,G73+Inputs!$C$13))*F73</f>
        <v>0</v>
      </c>
      <c r="S73" s="64" t="n">
        <f aca="false">P73*(G73+Inputs!$C$14)*F73</f>
        <v>1837.21199736798</v>
      </c>
      <c r="T73" s="64" t="n">
        <f aca="false">N73+M73-Q73-R73-S73</f>
        <v>-101837.211997368</v>
      </c>
      <c r="U73" s="64" t="n">
        <f aca="false">W72</f>
        <v>260422.420657149</v>
      </c>
      <c r="V73" s="64" t="n">
        <f aca="false">MIN(U73+I73,MAX(T73,0))</f>
        <v>0</v>
      </c>
      <c r="W73" s="64" t="n">
        <f aca="false">U73+I73-V73</f>
        <v>260422.420657149</v>
      </c>
      <c r="X73" s="64" t="n">
        <f aca="false">K73+L73+V73+IF(E73,H73-I73-K73-L73,0)</f>
        <v>0</v>
      </c>
      <c r="Y73" s="61" t="b">
        <f aca="false">AND(Inputs!$C$21=1,O73/Inputs!$C$10&lt;=Inputs!$C$22,Inputs!$G$14&lt;Inputs!$C$23,W73&lt;1)</f>
        <v>0</v>
      </c>
      <c r="Z73" s="61" t="b">
        <f aca="false">OR(AND(Inputs!$G$15=1,H73/Inputs!$C$17&lt;=Inputs!$C$24),AND(Inputs!$G$15=2,C73&gt;=Inputs!$G$16))</f>
        <v>0</v>
      </c>
      <c r="AA73" s="61" t="b">
        <f aca="false">OR(AA72,Z73)</f>
        <v>0</v>
      </c>
      <c r="AB73" s="61" t="b">
        <f aca="false">AND(Z73,NOT(AA72),D73,O73&gt;0)</f>
        <v>0</v>
      </c>
      <c r="AC73" s="63" t="n">
        <f aca="false">IF(AND(Y73,NOT(E73),O73+P73&gt;0),O73/(O73+P73),1)</f>
        <v>1</v>
      </c>
      <c r="AD73" s="64" t="n">
        <f aca="false">IF(AB73,O73,IF(D73,MIN(O73,IF(E73,AC73*X73+BF72,BE73*Inputs!$G$20)),0))</f>
        <v>0</v>
      </c>
      <c r="AE73" s="64" t="n">
        <f aca="false">IF(AB73,P73,IF(D73,MAX(MIN(P73,X73-MIN(O73,AC73*X73)),0),0))</f>
        <v>0</v>
      </c>
      <c r="AF73" s="64" t="n">
        <f aca="false">IF(OR(AB73,E73),0,MAX(H73-I73-K73-L73,0))</f>
        <v>0</v>
      </c>
      <c r="AG73" s="64" t="n">
        <f aca="false">IF(E73,0,O73-AD73)</f>
        <v>0</v>
      </c>
      <c r="AH73" s="64" t="n">
        <f aca="false">IF(OR(AB73,E73),0,P73-AE73)</f>
        <v>256983.980657201</v>
      </c>
      <c r="AI73" s="64" t="n">
        <f aca="false">IF(D73,R73+AD73,0)</f>
        <v>0</v>
      </c>
      <c r="AJ73" s="65" t="n">
        <f aca="false">(C73-Inputs!$G$6)/365</f>
        <v>15.6493150684932</v>
      </c>
      <c r="AK73" s="29" t="n">
        <f aca="false">AG73/Inputs!$C$10</f>
        <v>0</v>
      </c>
      <c r="AL73" s="5"/>
      <c r="AM73" s="66" t="n">
        <f aca="false">F73</f>
        <v>0.241666666666667</v>
      </c>
      <c r="AN73" s="5"/>
      <c r="AO73" s="5" t="n">
        <f aca="false">AO72+LN(1+($G73+AO$7)*$AM73)</f>
        <v>0.397311382213805</v>
      </c>
      <c r="AP73" s="5" t="n">
        <f aca="false">AP72+LN(1+($G73+AP$7)*$AM73)</f>
        <v>0.398888024077786</v>
      </c>
      <c r="AQ73" s="5" t="n">
        <f aca="false">AQ72+LN(1+($G73+AQ$7)*$AM73)</f>
        <v>0.449531767040747</v>
      </c>
      <c r="AR73" s="5" t="n">
        <f aca="false">AR72+LN(1+($G73+AR$7)*$AM73)</f>
        <v>0.451107098651685</v>
      </c>
      <c r="AS73" s="5" t="n">
        <f aca="false">AS72+LN(1+($G73+AS$7)*$AM73)</f>
        <v>0.450104400658945</v>
      </c>
      <c r="AT73" s="5" t="n">
        <f aca="false">AT72+LN(1+($G73+AT$7)*$AM73)</f>
        <v>0.451679717908086</v>
      </c>
      <c r="AU73" s="5" t="n">
        <f aca="false">AU72+LN(1+($G73+AU$7)*$AM73)</f>
        <v>0.450104278396219</v>
      </c>
      <c r="AV73" s="5" t="n">
        <f aca="false">AV72+LN(1+($G73+AV$7)*$AM73)</f>
        <v>0.451679595648425</v>
      </c>
      <c r="AW73" s="5" t="n">
        <f aca="false">AW72+LN(1+($G73+AW$7)*$AM73)</f>
        <v>0.450104278437223</v>
      </c>
      <c r="AX73" s="5" t="n">
        <f aca="false">AX72+LN(1+($G73+AX$7)*$AM73)</f>
        <v>0.451679595689432</v>
      </c>
      <c r="AY73" s="5" t="n">
        <f aca="false">AY72+LN(1+($G73+AY$7)*$AM73)</f>
        <v>0.450104278437215</v>
      </c>
      <c r="AZ73" s="5" t="n">
        <f aca="false">AZ72+LN(1+($G73+AZ$7)*$AM73)</f>
        <v>0.451679595689418</v>
      </c>
      <c r="BA73" s="5" t="n">
        <f aca="false">BA72+LN(1+($G73+BA$7)*$AM73)</f>
        <v>0.450104278437215</v>
      </c>
      <c r="BB73" s="5" t="n">
        <f aca="false">BB72+LN(1+($G73+BB$7)*$AM73)</f>
        <v>0.451679595689418</v>
      </c>
      <c r="BC73" s="5" t="n">
        <f aca="false">BC72+LN(1+($G73+BC$7)*$AM73)</f>
        <v>0.450104278437215</v>
      </c>
      <c r="BD73" s="5" t="n">
        <f aca="false">BD72+LN(1+($G73+BD$7)*$AM73)</f>
        <v>0.451679595689418</v>
      </c>
      <c r="BE73" s="5" t="n">
        <f aca="false">IF(AB73,O73,IF(D73,MIN(O73,AC73*X73+BF72),0))</f>
        <v>0</v>
      </c>
      <c r="BF73" s="5" t="n">
        <f aca="false">IF(OR(AB73,E73),0,BE73-AD73)</f>
        <v>0</v>
      </c>
      <c r="BG73" s="5" t="n">
        <f aca="false">BG72+LN(1+($G73+BG$7)*$AM73)</f>
        <v>0.43434893250106</v>
      </c>
      <c r="BH73" s="5"/>
      <c r="BI73" s="5" t="n">
        <f aca="false">BI72+LN(1+($G73+BI$7)*$AM73)</f>
        <v>0.465855673307053</v>
      </c>
      <c r="BJ73" s="5"/>
      <c r="BK73" s="62" t="n">
        <f aca="false">C73</f>
        <v>52001</v>
      </c>
      <c r="BL73" s="67" t="n">
        <f aca="false">AI73</f>
        <v>0</v>
      </c>
    </row>
    <row r="74" customFormat="false" ht="15" hidden="false" customHeight="true" outlineLevel="0" collapsed="false">
      <c r="A74" s="3" t="n">
        <v>64</v>
      </c>
      <c r="B74" s="38" t="n">
        <f aca="false">EDATE(Inputs!$C$8,3*(A74-1))</f>
        <v>52093</v>
      </c>
      <c r="C74" s="38" t="n">
        <f aca="false">WORKDAY(B74-1,1)</f>
        <v>52093</v>
      </c>
      <c r="D74" s="61" t="b">
        <f aca="false">C74&lt;=Inputs!$C$9</f>
        <v>1</v>
      </c>
      <c r="E74" s="61" t="b">
        <f aca="false">AND(D74,NOT(D75))</f>
        <v>0</v>
      </c>
      <c r="F74" s="63" t="n">
        <f aca="false">(C74-C73)/360</f>
        <v>0.255555555555556</v>
      </c>
      <c r="G74" s="57" t="n">
        <f aca="false">Curve!D67</f>
        <v>0.02252</v>
      </c>
      <c r="H74" s="64" t="n">
        <f aca="false">AF73</f>
        <v>0</v>
      </c>
      <c r="I74" s="64" t="n">
        <f aca="false">IF(D74,H74*Inputs!$G$22,0)</f>
        <v>0</v>
      </c>
      <c r="J74" s="32" t="n">
        <f aca="false">MAX(Inputs!$G$24-(A74-1),1)</f>
        <v>1</v>
      </c>
      <c r="K74" s="64" t="n">
        <f aca="false">IF(D74,MIN(H74-I74,IF(J74&gt;1,(H74-I74)*Inputs!$G$23/((1+Inputs!$G$23)^J74-1),H74-I74)),0)</f>
        <v>0</v>
      </c>
      <c r="L74" s="64" t="n">
        <f aca="false">IF(D74,(H74-I74-K74)*Inputs!$G$21,0)</f>
        <v>0</v>
      </c>
      <c r="M74" s="64" t="n">
        <f aca="false">IF(A74&gt;Inputs!$G$13,(1-Inputs!$G$12)*INDEX($I$11:$I$190,A74-Inputs!$G$13),0)</f>
        <v>0</v>
      </c>
      <c r="N74" s="64" t="n">
        <f aca="false">IF(D74,(H74-I74)*Inputs!$G$23,0)</f>
        <v>0</v>
      </c>
      <c r="O74" s="64" t="n">
        <f aca="false">AG73</f>
        <v>0</v>
      </c>
      <c r="P74" s="64" t="n">
        <f aca="false">AH73</f>
        <v>256983.980657201</v>
      </c>
      <c r="Q74" s="64" t="n">
        <f aca="false">IF(AND(D74,O74+P74&gt;0),Inputs!$C$25+Inputs!$C$26*H74/4,0)</f>
        <v>100000</v>
      </c>
      <c r="R74" s="64" t="n">
        <f aca="false">O74*IF(Inputs!$G$19="",G74+Inputs!$C$13,MAX(Inputs!$G$19,G74+Inputs!$C$13))*F74</f>
        <v>0</v>
      </c>
      <c r="S74" s="64" t="n">
        <f aca="false">P74*(G74+Inputs!$C$14)*F74</f>
        <v>1942.79889376844</v>
      </c>
      <c r="T74" s="64" t="n">
        <f aca="false">N74+M74-Q74-R74-S74</f>
        <v>-101942.798893768</v>
      </c>
      <c r="U74" s="64" t="n">
        <f aca="false">W73</f>
        <v>260422.420657149</v>
      </c>
      <c r="V74" s="64" t="n">
        <f aca="false">MIN(U74+I74,MAX(T74,0))</f>
        <v>0</v>
      </c>
      <c r="W74" s="64" t="n">
        <f aca="false">U74+I74-V74</f>
        <v>260422.420657149</v>
      </c>
      <c r="X74" s="64" t="n">
        <f aca="false">K74+L74+V74+IF(E74,H74-I74-K74-L74,0)</f>
        <v>0</v>
      </c>
      <c r="Y74" s="61" t="b">
        <f aca="false">AND(Inputs!$C$21=1,O74/Inputs!$C$10&lt;=Inputs!$C$22,Inputs!$G$14&lt;Inputs!$C$23,W74&lt;1)</f>
        <v>0</v>
      </c>
      <c r="Z74" s="61" t="b">
        <f aca="false">OR(AND(Inputs!$G$15=1,H74/Inputs!$C$17&lt;=Inputs!$C$24),AND(Inputs!$G$15=2,C74&gt;=Inputs!$G$16))</f>
        <v>0</v>
      </c>
      <c r="AA74" s="61" t="b">
        <f aca="false">OR(AA73,Z74)</f>
        <v>0</v>
      </c>
      <c r="AB74" s="61" t="b">
        <f aca="false">AND(Z74,NOT(AA73),D74,O74&gt;0)</f>
        <v>0</v>
      </c>
      <c r="AC74" s="63" t="n">
        <f aca="false">IF(AND(Y74,NOT(E74),O74+P74&gt;0),O74/(O74+P74),1)</f>
        <v>1</v>
      </c>
      <c r="AD74" s="64" t="n">
        <f aca="false">IF(AB74,O74,IF(D74,MIN(O74,IF(E74,AC74*X74+BF73,BE74*Inputs!$G$20)),0))</f>
        <v>0</v>
      </c>
      <c r="AE74" s="64" t="n">
        <f aca="false">IF(AB74,P74,IF(D74,MAX(MIN(P74,X74-MIN(O74,AC74*X74)),0),0))</f>
        <v>0</v>
      </c>
      <c r="AF74" s="64" t="n">
        <f aca="false">IF(OR(AB74,E74),0,MAX(H74-I74-K74-L74,0))</f>
        <v>0</v>
      </c>
      <c r="AG74" s="64" t="n">
        <f aca="false">IF(E74,0,O74-AD74)</f>
        <v>0</v>
      </c>
      <c r="AH74" s="64" t="n">
        <f aca="false">IF(OR(AB74,E74),0,P74-AE74)</f>
        <v>256983.980657201</v>
      </c>
      <c r="AI74" s="64" t="n">
        <f aca="false">IF(D74,R74+AD74,0)</f>
        <v>0</v>
      </c>
      <c r="AJ74" s="65" t="n">
        <f aca="false">(C74-Inputs!$G$6)/365</f>
        <v>15.9013698630137</v>
      </c>
      <c r="AK74" s="29" t="n">
        <f aca="false">AG74/Inputs!$C$10</f>
        <v>0</v>
      </c>
      <c r="AL74" s="5"/>
      <c r="AM74" s="66" t="n">
        <f aca="false">F74</f>
        <v>0.255555555555556</v>
      </c>
      <c r="AN74" s="5"/>
      <c r="AO74" s="5" t="n">
        <f aca="false">AO73+LN(1+($G74+AO$7)*$AM74)</f>
        <v>0.403710420184963</v>
      </c>
      <c r="AP74" s="5" t="n">
        <f aca="false">AP73+LN(1+($G74+AP$7)*$AM74)</f>
        <v>0.405312454273249</v>
      </c>
      <c r="AQ74" s="5" t="n">
        <f aca="false">AQ73+LN(1+($G74+AQ$7)*$AM74)</f>
        <v>0.456771823868228</v>
      </c>
      <c r="AR74" s="5" t="n">
        <f aca="false">AR73+LN(1+($G74+AR$7)*$AM74)</f>
        <v>0.458372526357381</v>
      </c>
      <c r="AS74" s="5" t="n">
        <f aca="false">AS73+LN(1+($G74+AS$7)*$AM74)</f>
        <v>0.457353679810811</v>
      </c>
      <c r="AT74" s="5" t="n">
        <f aca="false">AT73+LN(1+($G74+AT$7)*$AM74)</f>
        <v>0.458954367704192</v>
      </c>
      <c r="AU74" s="5" t="n">
        <f aca="false">AU73+LN(1+($G74+AU$7)*$AM74)</f>
        <v>0.457353555579032</v>
      </c>
      <c r="AV74" s="5" t="n">
        <f aca="false">AV73+LN(1+($G74+AV$7)*$AM74)</f>
        <v>0.458954243475528</v>
      </c>
      <c r="AW74" s="5" t="n">
        <f aca="false">AW73+LN(1+($G74+AW$7)*$AM74)</f>
        <v>0.457353555620696</v>
      </c>
      <c r="AX74" s="5" t="n">
        <f aca="false">AX73+LN(1+($G74+AX$7)*$AM74)</f>
        <v>0.458954243517195</v>
      </c>
      <c r="AY74" s="5" t="n">
        <f aca="false">AY73+LN(1+($G74+AY$7)*$AM74)</f>
        <v>0.457353555620688</v>
      </c>
      <c r="AZ74" s="5" t="n">
        <f aca="false">AZ73+LN(1+($G74+AZ$7)*$AM74)</f>
        <v>0.458954243517181</v>
      </c>
      <c r="BA74" s="5" t="n">
        <f aca="false">BA73+LN(1+($G74+BA$7)*$AM74)</f>
        <v>0.457353555620688</v>
      </c>
      <c r="BB74" s="5" t="n">
        <f aca="false">BB73+LN(1+($G74+BB$7)*$AM74)</f>
        <v>0.458954243517181</v>
      </c>
      <c r="BC74" s="5" t="n">
        <f aca="false">BC73+LN(1+($G74+BC$7)*$AM74)</f>
        <v>0.457353555620688</v>
      </c>
      <c r="BD74" s="5" t="n">
        <f aca="false">BD73+LN(1+($G74+BD$7)*$AM74)</f>
        <v>0.458954243517181</v>
      </c>
      <c r="BE74" s="5" t="n">
        <f aca="false">IF(AB74,O74,IF(D74,MIN(O74,AC74*X74+BF73),0))</f>
        <v>0</v>
      </c>
      <c r="BF74" s="5" t="n">
        <f aca="false">IF(OR(AB74,E74),0,BE74-AD74)</f>
        <v>0</v>
      </c>
      <c r="BG74" s="5" t="n">
        <f aca="false">BG73+LN(1+($G74+BG$7)*$AM74)</f>
        <v>0.441344467833511</v>
      </c>
      <c r="BH74" s="5"/>
      <c r="BI74" s="5" t="n">
        <f aca="false">BI73+LN(1+($G74+BI$7)*$AM74)</f>
        <v>0.473358627972953</v>
      </c>
      <c r="BJ74" s="5"/>
      <c r="BK74" s="62" t="n">
        <f aca="false">C74</f>
        <v>52093</v>
      </c>
      <c r="BL74" s="67" t="n">
        <f aca="false">AI74</f>
        <v>0</v>
      </c>
    </row>
    <row r="75" customFormat="false" ht="15" hidden="false" customHeight="true" outlineLevel="0" collapsed="false">
      <c r="A75" s="3" t="n">
        <v>65</v>
      </c>
      <c r="B75" s="38" t="n">
        <f aca="false">EDATE(Inputs!$C$8,3*(A75-1))</f>
        <v>52185</v>
      </c>
      <c r="C75" s="38" t="n">
        <f aca="false">WORKDAY(B75-1,1)</f>
        <v>52187</v>
      </c>
      <c r="D75" s="61" t="b">
        <f aca="false">C75&lt;=Inputs!$C$9</f>
        <v>1</v>
      </c>
      <c r="E75" s="61" t="b">
        <f aca="false">AND(D75,NOT(D76))</f>
        <v>0</v>
      </c>
      <c r="F75" s="63" t="n">
        <f aca="false">(C75-C74)/360</f>
        <v>0.261111111111111</v>
      </c>
      <c r="G75" s="57" t="n">
        <f aca="false">Curve!D68</f>
        <v>0.02252</v>
      </c>
      <c r="H75" s="64" t="n">
        <f aca="false">AF74</f>
        <v>0</v>
      </c>
      <c r="I75" s="64" t="n">
        <f aca="false">IF(D75,H75*Inputs!$G$22,0)</f>
        <v>0</v>
      </c>
      <c r="J75" s="32" t="n">
        <f aca="false">MAX(Inputs!$G$24-(A75-1),1)</f>
        <v>1</v>
      </c>
      <c r="K75" s="64" t="n">
        <f aca="false">IF(D75,MIN(H75-I75,IF(J75&gt;1,(H75-I75)*Inputs!$G$23/((1+Inputs!$G$23)^J75-1),H75-I75)),0)</f>
        <v>0</v>
      </c>
      <c r="L75" s="64" t="n">
        <f aca="false">IF(D75,(H75-I75-K75)*Inputs!$G$21,0)</f>
        <v>0</v>
      </c>
      <c r="M75" s="64" t="n">
        <f aca="false">IF(A75&gt;Inputs!$G$13,(1-Inputs!$G$12)*INDEX($I$11:$I$190,A75-Inputs!$G$13),0)</f>
        <v>0</v>
      </c>
      <c r="N75" s="64" t="n">
        <f aca="false">IF(D75,(H75-I75)*Inputs!$G$23,0)</f>
        <v>0</v>
      </c>
      <c r="O75" s="64" t="n">
        <f aca="false">AG74</f>
        <v>0</v>
      </c>
      <c r="P75" s="64" t="n">
        <f aca="false">AH74</f>
        <v>256983.980657201</v>
      </c>
      <c r="Q75" s="64" t="n">
        <f aca="false">IF(AND(D75,O75+P75&gt;0),Inputs!$C$25+Inputs!$C$26*H75/4,0)</f>
        <v>100000</v>
      </c>
      <c r="R75" s="64" t="n">
        <f aca="false">O75*IF(Inputs!$G$19="",G75+Inputs!$C$13,MAX(Inputs!$G$19,G75+Inputs!$C$13))*F75</f>
        <v>0</v>
      </c>
      <c r="S75" s="64" t="n">
        <f aca="false">P75*(G75+Inputs!$C$14)*F75</f>
        <v>1985.03365232862</v>
      </c>
      <c r="T75" s="64" t="n">
        <f aca="false">N75+M75-Q75-R75-S75</f>
        <v>-101985.033652329</v>
      </c>
      <c r="U75" s="64" t="n">
        <f aca="false">W74</f>
        <v>260422.420657149</v>
      </c>
      <c r="V75" s="64" t="n">
        <f aca="false">MIN(U75+I75,MAX(T75,0))</f>
        <v>0</v>
      </c>
      <c r="W75" s="64" t="n">
        <f aca="false">U75+I75-V75</f>
        <v>260422.420657149</v>
      </c>
      <c r="X75" s="64" t="n">
        <f aca="false">K75+L75+V75+IF(E75,H75-I75-K75-L75,0)</f>
        <v>0</v>
      </c>
      <c r="Y75" s="61" t="b">
        <f aca="false">AND(Inputs!$C$21=1,O75/Inputs!$C$10&lt;=Inputs!$C$22,Inputs!$G$14&lt;Inputs!$C$23,W75&lt;1)</f>
        <v>0</v>
      </c>
      <c r="Z75" s="61" t="b">
        <f aca="false">OR(AND(Inputs!$G$15=1,H75/Inputs!$C$17&lt;=Inputs!$C$24),AND(Inputs!$G$15=2,C75&gt;=Inputs!$G$16))</f>
        <v>0</v>
      </c>
      <c r="AA75" s="61" t="b">
        <f aca="false">OR(AA74,Z75)</f>
        <v>0</v>
      </c>
      <c r="AB75" s="61" t="b">
        <f aca="false">AND(Z75,NOT(AA74),D75,O75&gt;0)</f>
        <v>0</v>
      </c>
      <c r="AC75" s="63" t="n">
        <f aca="false">IF(AND(Y75,NOT(E75),O75+P75&gt;0),O75/(O75+P75),1)</f>
        <v>1</v>
      </c>
      <c r="AD75" s="64" t="n">
        <f aca="false">IF(AB75,O75,IF(D75,MIN(O75,IF(E75,AC75*X75+BF74,BE75*Inputs!$G$20)),0))</f>
        <v>0</v>
      </c>
      <c r="AE75" s="64" t="n">
        <f aca="false">IF(AB75,P75,IF(D75,MAX(MIN(P75,X75-MIN(O75,AC75*X75)),0),0))</f>
        <v>0</v>
      </c>
      <c r="AF75" s="64" t="n">
        <f aca="false">IF(OR(AB75,E75),0,MAX(H75-I75-K75-L75,0))</f>
        <v>0</v>
      </c>
      <c r="AG75" s="64" t="n">
        <f aca="false">IF(E75,0,O75-AD75)</f>
        <v>0</v>
      </c>
      <c r="AH75" s="64" t="n">
        <f aca="false">IF(OR(AB75,E75),0,P75-AE75)</f>
        <v>256983.980657201</v>
      </c>
      <c r="AI75" s="64" t="n">
        <f aca="false">IF(D75,R75+AD75,0)</f>
        <v>0</v>
      </c>
      <c r="AJ75" s="65" t="n">
        <f aca="false">(C75-Inputs!$G$6)/365</f>
        <v>16.158904109589</v>
      </c>
      <c r="AK75" s="29" t="n">
        <f aca="false">AG75/Inputs!$C$10</f>
        <v>0</v>
      </c>
      <c r="AL75" s="5"/>
      <c r="AM75" s="66" t="n">
        <f aca="false">F75</f>
        <v>0.261111111111111</v>
      </c>
      <c r="AN75" s="5"/>
      <c r="AO75" s="5" t="n">
        <f aca="false">AO74+LN(1+($G75+AO$7)*$AM75)</f>
        <v>0.410248113928375</v>
      </c>
      <c r="AP75" s="5" t="n">
        <f aca="false">AP74+LN(1+($G75+AP$7)*$AM75)</f>
        <v>0.411876088641663</v>
      </c>
      <c r="AQ75" s="5" t="n">
        <f aca="false">AQ74+LN(1+($G75+AQ$7)*$AM75)</f>
        <v>0.464168692546909</v>
      </c>
      <c r="AR75" s="5" t="n">
        <f aca="false">AR74+LN(1+($G75+AR$7)*$AM75)</f>
        <v>0.46579531338339</v>
      </c>
      <c r="AS75" s="5" t="n">
        <f aca="false">AS74+LN(1+($G75+AS$7)*$AM75)</f>
        <v>0.46475996982076</v>
      </c>
      <c r="AT75" s="5" t="n">
        <f aca="false">AT74+LN(1+($G75+AT$7)*$AM75)</f>
        <v>0.466386575817288</v>
      </c>
      <c r="AU75" s="5" t="n">
        <f aca="false">AU74+LN(1+($G75+AU$7)*$AM75)</f>
        <v>0.464759843577438</v>
      </c>
      <c r="AV75" s="5" t="n">
        <f aca="false">AV74+LN(1+($G75+AV$7)*$AM75)</f>
        <v>0.466386449577133</v>
      </c>
      <c r="AW75" s="5" t="n">
        <f aca="false">AW74+LN(1+($G75+AW$7)*$AM75)</f>
        <v>0.464759843619776</v>
      </c>
      <c r="AX75" s="5" t="n">
        <f aca="false">AX74+LN(1+($G75+AX$7)*$AM75)</f>
        <v>0.466386449619474</v>
      </c>
      <c r="AY75" s="5" t="n">
        <f aca="false">AY74+LN(1+($G75+AY$7)*$AM75)</f>
        <v>0.464759843619768</v>
      </c>
      <c r="AZ75" s="5" t="n">
        <f aca="false">AZ74+LN(1+($G75+AZ$7)*$AM75)</f>
        <v>0.46638644961946</v>
      </c>
      <c r="BA75" s="5" t="n">
        <f aca="false">BA74+LN(1+($G75+BA$7)*$AM75)</f>
        <v>0.464759843619768</v>
      </c>
      <c r="BB75" s="5" t="n">
        <f aca="false">BB74+LN(1+($G75+BB$7)*$AM75)</f>
        <v>0.46638644961946</v>
      </c>
      <c r="BC75" s="5" t="n">
        <f aca="false">BC74+LN(1+($G75+BC$7)*$AM75)</f>
        <v>0.464759843619768</v>
      </c>
      <c r="BD75" s="5" t="n">
        <f aca="false">BD74+LN(1+($G75+BD$7)*$AM75)</f>
        <v>0.46638644961946</v>
      </c>
      <c r="BE75" s="5" t="n">
        <f aca="false">IF(AB75,O75,IF(D75,MIN(O75,AC75*X75+BF74),0))</f>
        <v>0</v>
      </c>
      <c r="BF75" s="5" t="n">
        <f aca="false">IF(OR(AB75,E75),0,BE75-AD75)</f>
        <v>0</v>
      </c>
      <c r="BG75" s="5" t="n">
        <f aca="false">BG74+LN(1+($G75+BG$7)*$AM75)</f>
        <v>0.44849153784776</v>
      </c>
      <c r="BH75" s="5"/>
      <c r="BI75" s="5" t="n">
        <f aca="false">BI74+LN(1+($G75+BI$7)*$AM75)</f>
        <v>0.481024066780315</v>
      </c>
      <c r="BJ75" s="5"/>
      <c r="BK75" s="62" t="n">
        <f aca="false">C75</f>
        <v>52187</v>
      </c>
      <c r="BL75" s="67" t="n">
        <f aca="false">AI75</f>
        <v>0</v>
      </c>
    </row>
    <row r="76" customFormat="false" ht="15" hidden="false" customHeight="true" outlineLevel="0" collapsed="false">
      <c r="A76" s="3" t="n">
        <v>66</v>
      </c>
      <c r="B76" s="38" t="n">
        <f aca="false">EDATE(Inputs!$C$8,3*(A76-1))</f>
        <v>52277</v>
      </c>
      <c r="C76" s="38" t="n">
        <f aca="false">WORKDAY(B76-1,1)</f>
        <v>52278</v>
      </c>
      <c r="D76" s="61" t="b">
        <f aca="false">C76&lt;=Inputs!$C$9</f>
        <v>1</v>
      </c>
      <c r="E76" s="61" t="b">
        <f aca="false">AND(D76,NOT(D77))</f>
        <v>0</v>
      </c>
      <c r="F76" s="63" t="n">
        <f aca="false">(C76-C75)/360</f>
        <v>0.252777777777778</v>
      </c>
      <c r="G76" s="57" t="n">
        <f aca="false">Curve!D69</f>
        <v>0.02252</v>
      </c>
      <c r="H76" s="64" t="n">
        <f aca="false">AF75</f>
        <v>0</v>
      </c>
      <c r="I76" s="64" t="n">
        <f aca="false">IF(D76,H76*Inputs!$G$22,0)</f>
        <v>0</v>
      </c>
      <c r="J76" s="32" t="n">
        <f aca="false">MAX(Inputs!$G$24-(A76-1),1)</f>
        <v>1</v>
      </c>
      <c r="K76" s="64" t="n">
        <f aca="false">IF(D76,MIN(H76-I76,IF(J76&gt;1,(H76-I76)*Inputs!$G$23/((1+Inputs!$G$23)^J76-1),H76-I76)),0)</f>
        <v>0</v>
      </c>
      <c r="L76" s="64" t="n">
        <f aca="false">IF(D76,(H76-I76-K76)*Inputs!$G$21,0)</f>
        <v>0</v>
      </c>
      <c r="M76" s="64" t="n">
        <f aca="false">IF(A76&gt;Inputs!$G$13,(1-Inputs!$G$12)*INDEX($I$11:$I$190,A76-Inputs!$G$13),0)</f>
        <v>0</v>
      </c>
      <c r="N76" s="64" t="n">
        <f aca="false">IF(D76,(H76-I76)*Inputs!$G$23,0)</f>
        <v>0</v>
      </c>
      <c r="O76" s="64" t="n">
        <f aca="false">AG75</f>
        <v>0</v>
      </c>
      <c r="P76" s="64" t="n">
        <f aca="false">AH75</f>
        <v>256983.980657201</v>
      </c>
      <c r="Q76" s="64" t="n">
        <f aca="false">IF(AND(D76,O76+P76&gt;0),Inputs!$C$25+Inputs!$C$26*H76/4,0)</f>
        <v>100000</v>
      </c>
      <c r="R76" s="64" t="n">
        <f aca="false">O76*IF(Inputs!$G$19="",G76+Inputs!$C$13,MAX(Inputs!$G$19,G76+Inputs!$C$13))*F76</f>
        <v>0</v>
      </c>
      <c r="S76" s="64" t="n">
        <f aca="false">P76*(G76+Inputs!$C$14)*F76</f>
        <v>1921.68151448835</v>
      </c>
      <c r="T76" s="64" t="n">
        <f aca="false">N76+M76-Q76-R76-S76</f>
        <v>-101921.681514488</v>
      </c>
      <c r="U76" s="64" t="n">
        <f aca="false">W75</f>
        <v>260422.420657149</v>
      </c>
      <c r="V76" s="64" t="n">
        <f aca="false">MIN(U76+I76,MAX(T76,0))</f>
        <v>0</v>
      </c>
      <c r="W76" s="64" t="n">
        <f aca="false">U76+I76-V76</f>
        <v>260422.420657149</v>
      </c>
      <c r="X76" s="64" t="n">
        <f aca="false">K76+L76+V76+IF(E76,H76-I76-K76-L76,0)</f>
        <v>0</v>
      </c>
      <c r="Y76" s="61" t="b">
        <f aca="false">AND(Inputs!$C$21=1,O76/Inputs!$C$10&lt;=Inputs!$C$22,Inputs!$G$14&lt;Inputs!$C$23,W76&lt;1)</f>
        <v>0</v>
      </c>
      <c r="Z76" s="61" t="b">
        <f aca="false">OR(AND(Inputs!$G$15=1,H76/Inputs!$C$17&lt;=Inputs!$C$24),AND(Inputs!$G$15=2,C76&gt;=Inputs!$G$16))</f>
        <v>0</v>
      </c>
      <c r="AA76" s="61" t="b">
        <f aca="false">OR(AA75,Z76)</f>
        <v>0</v>
      </c>
      <c r="AB76" s="61" t="b">
        <f aca="false">AND(Z76,NOT(AA75),D76,O76&gt;0)</f>
        <v>0</v>
      </c>
      <c r="AC76" s="63" t="n">
        <f aca="false">IF(AND(Y76,NOT(E76),O76+P76&gt;0),O76/(O76+P76),1)</f>
        <v>1</v>
      </c>
      <c r="AD76" s="64" t="n">
        <f aca="false">IF(AB76,O76,IF(D76,MIN(O76,IF(E76,AC76*X76+BF75,BE76*Inputs!$G$20)),0))</f>
        <v>0</v>
      </c>
      <c r="AE76" s="64" t="n">
        <f aca="false">IF(AB76,P76,IF(D76,MAX(MIN(P76,X76-MIN(O76,AC76*X76)),0),0))</f>
        <v>0</v>
      </c>
      <c r="AF76" s="64" t="n">
        <f aca="false">IF(OR(AB76,E76),0,MAX(H76-I76-K76-L76,0))</f>
        <v>0</v>
      </c>
      <c r="AG76" s="64" t="n">
        <f aca="false">IF(E76,0,O76-AD76)</f>
        <v>0</v>
      </c>
      <c r="AH76" s="64" t="n">
        <f aca="false">IF(OR(AB76,E76),0,P76-AE76)</f>
        <v>256983.980657201</v>
      </c>
      <c r="AI76" s="64" t="n">
        <f aca="false">IF(D76,R76+AD76,0)</f>
        <v>0</v>
      </c>
      <c r="AJ76" s="65" t="n">
        <f aca="false">(C76-Inputs!$G$6)/365</f>
        <v>16.4082191780822</v>
      </c>
      <c r="AK76" s="29" t="n">
        <f aca="false">AG76/Inputs!$C$10</f>
        <v>0</v>
      </c>
      <c r="AL76" s="5"/>
      <c r="AM76" s="66" t="n">
        <f aca="false">F76</f>
        <v>0.252777777777778</v>
      </c>
      <c r="AN76" s="5"/>
      <c r="AO76" s="5" t="n">
        <f aca="false">AO75+LN(1+($G76+AO$7)*$AM76)</f>
        <v>0.416577816803205</v>
      </c>
      <c r="AP76" s="5" t="n">
        <f aca="false">AP75+LN(1+($G76+AP$7)*$AM76)</f>
        <v>0.418230909483301</v>
      </c>
      <c r="AQ76" s="5" t="n">
        <f aca="false">AQ75+LN(1+($G76+AQ$7)*$AM76)</f>
        <v>0.471330334226591</v>
      </c>
      <c r="AR76" s="5" t="n">
        <f aca="false">AR75+LN(1+($G76+AR$7)*$AM76)</f>
        <v>0.472982052142221</v>
      </c>
      <c r="AS76" s="5" t="n">
        <f aca="false">AS75+LN(1+($G76+AS$7)*$AM76)</f>
        <v>0.471930734297964</v>
      </c>
      <c r="AT76" s="5" t="n">
        <f aca="false">AT75+LN(1+($G76+AT$7)*$AM76)</f>
        <v>0.473582437144689</v>
      </c>
      <c r="AU76" s="5" t="n">
        <f aca="false">AU75+LN(1+($G76+AU$7)*$AM76)</f>
        <v>0.471930606106837</v>
      </c>
      <c r="AV76" s="5" t="n">
        <f aca="false">AV75+LN(1+($G76+AV$7)*$AM76)</f>
        <v>0.473582308956778</v>
      </c>
      <c r="AW76" s="5" t="n">
        <f aca="false">AW75+LN(1+($G76+AW$7)*$AM76)</f>
        <v>0.471930606149829</v>
      </c>
      <c r="AX76" s="5" t="n">
        <f aca="false">AX75+LN(1+($G76+AX$7)*$AM76)</f>
        <v>0.473582308999773</v>
      </c>
      <c r="AY76" s="5" t="n">
        <f aca="false">AY75+LN(1+($G76+AY$7)*$AM76)</f>
        <v>0.471930606149821</v>
      </c>
      <c r="AZ76" s="5" t="n">
        <f aca="false">AZ75+LN(1+($G76+AZ$7)*$AM76)</f>
        <v>0.473582308999759</v>
      </c>
      <c r="BA76" s="5" t="n">
        <f aca="false">BA75+LN(1+($G76+BA$7)*$AM76)</f>
        <v>0.471930606149821</v>
      </c>
      <c r="BB76" s="5" t="n">
        <f aca="false">BB75+LN(1+($G76+BB$7)*$AM76)</f>
        <v>0.473582308999759</v>
      </c>
      <c r="BC76" s="5" t="n">
        <f aca="false">BC75+LN(1+($G76+BC$7)*$AM76)</f>
        <v>0.471930606149821</v>
      </c>
      <c r="BD76" s="5" t="n">
        <f aca="false">BD75+LN(1+($G76+BD$7)*$AM76)</f>
        <v>0.473582308999759</v>
      </c>
      <c r="BE76" s="5" t="n">
        <f aca="false">IF(AB76,O76,IF(D76,MIN(O76,AC76*X76+BF75),0))</f>
        <v>0</v>
      </c>
      <c r="BF76" s="5" t="n">
        <f aca="false">IF(OR(AB76,E76),0,BE76-AD76)</f>
        <v>0</v>
      </c>
      <c r="BG76" s="5" t="n">
        <f aca="false">BG75+LN(1+($G76+BG$7)*$AM76)</f>
        <v>0.455411297227407</v>
      </c>
      <c r="BH76" s="5"/>
      <c r="BI76" s="5" t="n">
        <f aca="false">BI75+LN(1+($G76+BI$7)*$AM76)</f>
        <v>0.488445769474</v>
      </c>
      <c r="BJ76" s="5"/>
      <c r="BK76" s="62" t="n">
        <f aca="false">C76</f>
        <v>52278</v>
      </c>
      <c r="BL76" s="67" t="n">
        <f aca="false">AI76</f>
        <v>0</v>
      </c>
    </row>
    <row r="77" customFormat="false" ht="15" hidden="false" customHeight="true" outlineLevel="0" collapsed="false">
      <c r="A77" s="3" t="n">
        <v>67</v>
      </c>
      <c r="B77" s="38" t="n">
        <f aca="false">EDATE(Inputs!$C$8,3*(A77-1))</f>
        <v>52366</v>
      </c>
      <c r="C77" s="38" t="n">
        <f aca="false">WORKDAY(B77-1,1)</f>
        <v>52366</v>
      </c>
      <c r="D77" s="61" t="b">
        <f aca="false">C77&lt;=Inputs!$C$9</f>
        <v>1</v>
      </c>
      <c r="E77" s="61" t="b">
        <f aca="false">AND(D77,NOT(D78))</f>
        <v>0</v>
      </c>
      <c r="F77" s="63" t="n">
        <f aca="false">(C77-C76)/360</f>
        <v>0.244444444444444</v>
      </c>
      <c r="G77" s="57" t="n">
        <f aca="false">Curve!D70</f>
        <v>0.02252</v>
      </c>
      <c r="H77" s="64" t="n">
        <f aca="false">AF76</f>
        <v>0</v>
      </c>
      <c r="I77" s="64" t="n">
        <f aca="false">IF(D77,H77*Inputs!$G$22,0)</f>
        <v>0</v>
      </c>
      <c r="J77" s="32" t="n">
        <f aca="false">MAX(Inputs!$G$24-(A77-1),1)</f>
        <v>1</v>
      </c>
      <c r="K77" s="64" t="n">
        <f aca="false">IF(D77,MIN(H77-I77,IF(J77&gt;1,(H77-I77)*Inputs!$G$23/((1+Inputs!$G$23)^J77-1),H77-I77)),0)</f>
        <v>0</v>
      </c>
      <c r="L77" s="64" t="n">
        <f aca="false">IF(D77,(H77-I77-K77)*Inputs!$G$21,0)</f>
        <v>0</v>
      </c>
      <c r="M77" s="64" t="n">
        <f aca="false">IF(A77&gt;Inputs!$G$13,(1-Inputs!$G$12)*INDEX($I$11:$I$190,A77-Inputs!$G$13),0)</f>
        <v>0</v>
      </c>
      <c r="N77" s="64" t="n">
        <f aca="false">IF(D77,(H77-I77)*Inputs!$G$23,0)</f>
        <v>0</v>
      </c>
      <c r="O77" s="64" t="n">
        <f aca="false">AG76</f>
        <v>0</v>
      </c>
      <c r="P77" s="64" t="n">
        <f aca="false">AH76</f>
        <v>256983.980657201</v>
      </c>
      <c r="Q77" s="64" t="n">
        <f aca="false">IF(AND(D77,O77+P77&gt;0),Inputs!$C$25+Inputs!$C$26*H77/4,0)</f>
        <v>100000</v>
      </c>
      <c r="R77" s="64" t="n">
        <f aca="false">O77*IF(Inputs!$G$19="",G77+Inputs!$C$13,MAX(Inputs!$G$19,G77+Inputs!$C$13))*F77</f>
        <v>0</v>
      </c>
      <c r="S77" s="64" t="n">
        <f aca="false">P77*(G77+Inputs!$C$14)*F77</f>
        <v>1858.32937664807</v>
      </c>
      <c r="T77" s="64" t="n">
        <f aca="false">N77+M77-Q77-R77-S77</f>
        <v>-101858.329376648</v>
      </c>
      <c r="U77" s="64" t="n">
        <f aca="false">W76</f>
        <v>260422.420657149</v>
      </c>
      <c r="V77" s="64" t="n">
        <f aca="false">MIN(U77+I77,MAX(T77,0))</f>
        <v>0</v>
      </c>
      <c r="W77" s="64" t="n">
        <f aca="false">U77+I77-V77</f>
        <v>260422.420657149</v>
      </c>
      <c r="X77" s="64" t="n">
        <f aca="false">K77+L77+V77+IF(E77,H77-I77-K77-L77,0)</f>
        <v>0</v>
      </c>
      <c r="Y77" s="61" t="b">
        <f aca="false">AND(Inputs!$C$21=1,O77/Inputs!$C$10&lt;=Inputs!$C$22,Inputs!$G$14&lt;Inputs!$C$23,W77&lt;1)</f>
        <v>0</v>
      </c>
      <c r="Z77" s="61" t="b">
        <f aca="false">OR(AND(Inputs!$G$15=1,H77/Inputs!$C$17&lt;=Inputs!$C$24),AND(Inputs!$G$15=2,C77&gt;=Inputs!$G$16))</f>
        <v>0</v>
      </c>
      <c r="AA77" s="61" t="b">
        <f aca="false">OR(AA76,Z77)</f>
        <v>0</v>
      </c>
      <c r="AB77" s="61" t="b">
        <f aca="false">AND(Z77,NOT(AA76),D77,O77&gt;0)</f>
        <v>0</v>
      </c>
      <c r="AC77" s="63" t="n">
        <f aca="false">IF(AND(Y77,NOT(E77),O77+P77&gt;0),O77/(O77+P77),1)</f>
        <v>1</v>
      </c>
      <c r="AD77" s="64" t="n">
        <f aca="false">IF(AB77,O77,IF(D77,MIN(O77,IF(E77,AC77*X77+BF76,BE77*Inputs!$G$20)),0))</f>
        <v>0</v>
      </c>
      <c r="AE77" s="64" t="n">
        <f aca="false">IF(AB77,P77,IF(D77,MAX(MIN(P77,X77-MIN(O77,AC77*X77)),0),0))</f>
        <v>0</v>
      </c>
      <c r="AF77" s="64" t="n">
        <f aca="false">IF(OR(AB77,E77),0,MAX(H77-I77-K77-L77,0))</f>
        <v>0</v>
      </c>
      <c r="AG77" s="64" t="n">
        <f aca="false">IF(E77,0,O77-AD77)</f>
        <v>0</v>
      </c>
      <c r="AH77" s="64" t="n">
        <f aca="false">IF(OR(AB77,E77),0,P77-AE77)</f>
        <v>256983.980657201</v>
      </c>
      <c r="AI77" s="64" t="n">
        <f aca="false">IF(D77,R77+AD77,0)</f>
        <v>0</v>
      </c>
      <c r="AJ77" s="65" t="n">
        <f aca="false">(C77-Inputs!$G$6)/365</f>
        <v>16.6493150684932</v>
      </c>
      <c r="AK77" s="29" t="n">
        <f aca="false">AG77/Inputs!$C$10</f>
        <v>0</v>
      </c>
      <c r="AL77" s="5"/>
      <c r="AM77" s="66" t="n">
        <f aca="false">F77</f>
        <v>0.244444444444444</v>
      </c>
      <c r="AN77" s="5"/>
      <c r="AO77" s="5" t="n">
        <f aca="false">AO76+LN(1+($G77+AO$7)*$AM77)</f>
        <v>0.422699485540252</v>
      </c>
      <c r="AP77" s="5" t="n">
        <f aca="false">AP76+LN(1+($G77+AP$7)*$AM77)</f>
        <v>0.424376873185969</v>
      </c>
      <c r="AQ77" s="5" t="n">
        <f aca="false">AQ76+LN(1+($G77+AQ$7)*$AM77)</f>
        <v>0.478256693562516</v>
      </c>
      <c r="AR77" s="5" t="n">
        <f aca="false">AR76+LN(1+($G77+AR$7)*$AM77)</f>
        <v>0.479932686901936</v>
      </c>
      <c r="AS77" s="5" t="n">
        <f aca="false">AS76+LN(1+($G77+AS$7)*$AM77)</f>
        <v>0.478865917757076</v>
      </c>
      <c r="AT77" s="5" t="n">
        <f aca="false">AT76+LN(1+($G77+AT$7)*$AM77)</f>
        <v>0.480541895813386</v>
      </c>
      <c r="AU77" s="5" t="n">
        <f aca="false">AU76+LN(1+($G77+AU$7)*$AM77)</f>
        <v>0.478865787681914</v>
      </c>
      <c r="AV77" s="5" t="n">
        <f aca="false">AV76+LN(1+($G77+AV$7)*$AM77)</f>
        <v>0.480541765741487</v>
      </c>
      <c r="AW77" s="5" t="n">
        <f aca="false">AW76+LN(1+($G77+AW$7)*$AM77)</f>
        <v>0.478865787725538</v>
      </c>
      <c r="AX77" s="5" t="n">
        <f aca="false">AX76+LN(1+($G77+AX$7)*$AM77)</f>
        <v>0.480541765785113</v>
      </c>
      <c r="AY77" s="5" t="n">
        <f aca="false">AY76+LN(1+($G77+AY$7)*$AM77)</f>
        <v>0.47886578772553</v>
      </c>
      <c r="AZ77" s="5" t="n">
        <f aca="false">AZ76+LN(1+($G77+AZ$7)*$AM77)</f>
        <v>0.480541765785098</v>
      </c>
      <c r="BA77" s="5" t="n">
        <f aca="false">BA76+LN(1+($G77+BA$7)*$AM77)</f>
        <v>0.47886578772553</v>
      </c>
      <c r="BB77" s="5" t="n">
        <f aca="false">BB76+LN(1+($G77+BB$7)*$AM77)</f>
        <v>0.480541765785098</v>
      </c>
      <c r="BC77" s="5" t="n">
        <f aca="false">BC76+LN(1+($G77+BC$7)*$AM77)</f>
        <v>0.47886578772553</v>
      </c>
      <c r="BD77" s="5" t="n">
        <f aca="false">BD76+LN(1+($G77+BD$7)*$AM77)</f>
        <v>0.480541765785098</v>
      </c>
      <c r="BE77" s="5" t="n">
        <f aca="false">IF(AB77,O77,IF(D77,MIN(O77,AC77*X77+BF76),0))</f>
        <v>0</v>
      </c>
      <c r="BF77" s="5" t="n">
        <f aca="false">IF(OR(AB77,E77),0,BE77-AD77)</f>
        <v>0</v>
      </c>
      <c r="BG77" s="5" t="n">
        <f aca="false">BG76+LN(1+($G77+BG$7)*$AM77)</f>
        <v>0.462103694290579</v>
      </c>
      <c r="BH77" s="5"/>
      <c r="BI77" s="5" t="n">
        <f aca="false">BI76+LN(1+($G77+BI$7)*$AM77)</f>
        <v>0.495623676632234</v>
      </c>
      <c r="BJ77" s="5"/>
      <c r="BK77" s="62" t="n">
        <f aca="false">C77</f>
        <v>52366</v>
      </c>
      <c r="BL77" s="67" t="n">
        <f aca="false">AI77</f>
        <v>0</v>
      </c>
    </row>
    <row r="78" customFormat="false" ht="15" hidden="false" customHeight="true" outlineLevel="0" collapsed="false">
      <c r="A78" s="3" t="n">
        <v>68</v>
      </c>
      <c r="B78" s="38" t="n">
        <f aca="false">EDATE(Inputs!$C$8,3*(A78-1))</f>
        <v>52458</v>
      </c>
      <c r="C78" s="38" t="n">
        <f aca="false">WORKDAY(B78-1,1)</f>
        <v>52460</v>
      </c>
      <c r="D78" s="61" t="b">
        <f aca="false">C78&lt;=Inputs!$C$9</f>
        <v>1</v>
      </c>
      <c r="E78" s="61" t="b">
        <f aca="false">AND(D78,NOT(D79))</f>
        <v>0</v>
      </c>
      <c r="F78" s="63" t="n">
        <f aca="false">(C78-C77)/360</f>
        <v>0.261111111111111</v>
      </c>
      <c r="G78" s="57" t="n">
        <f aca="false">Curve!D71</f>
        <v>0.02252</v>
      </c>
      <c r="H78" s="64" t="n">
        <f aca="false">AF77</f>
        <v>0</v>
      </c>
      <c r="I78" s="64" t="n">
        <f aca="false">IF(D78,H78*Inputs!$G$22,0)</f>
        <v>0</v>
      </c>
      <c r="J78" s="32" t="n">
        <f aca="false">MAX(Inputs!$G$24-(A78-1),1)</f>
        <v>1</v>
      </c>
      <c r="K78" s="64" t="n">
        <f aca="false">IF(D78,MIN(H78-I78,IF(J78&gt;1,(H78-I78)*Inputs!$G$23/((1+Inputs!$G$23)^J78-1),H78-I78)),0)</f>
        <v>0</v>
      </c>
      <c r="L78" s="64" t="n">
        <f aca="false">IF(D78,(H78-I78-K78)*Inputs!$G$21,0)</f>
        <v>0</v>
      </c>
      <c r="M78" s="64" t="n">
        <f aca="false">IF(A78&gt;Inputs!$G$13,(1-Inputs!$G$12)*INDEX($I$11:$I$190,A78-Inputs!$G$13),0)</f>
        <v>0</v>
      </c>
      <c r="N78" s="64" t="n">
        <f aca="false">IF(D78,(H78-I78)*Inputs!$G$23,0)</f>
        <v>0</v>
      </c>
      <c r="O78" s="64" t="n">
        <f aca="false">AG77</f>
        <v>0</v>
      </c>
      <c r="P78" s="64" t="n">
        <f aca="false">AH77</f>
        <v>256983.980657201</v>
      </c>
      <c r="Q78" s="64" t="n">
        <f aca="false">IF(AND(D78,O78+P78&gt;0),Inputs!$C$25+Inputs!$C$26*H78/4,0)</f>
        <v>100000</v>
      </c>
      <c r="R78" s="64" t="n">
        <f aca="false">O78*IF(Inputs!$G$19="",G78+Inputs!$C$13,MAX(Inputs!$G$19,G78+Inputs!$C$13))*F78</f>
        <v>0</v>
      </c>
      <c r="S78" s="64" t="n">
        <f aca="false">P78*(G78+Inputs!$C$14)*F78</f>
        <v>1985.03365232862</v>
      </c>
      <c r="T78" s="64" t="n">
        <f aca="false">N78+M78-Q78-R78-S78</f>
        <v>-101985.033652329</v>
      </c>
      <c r="U78" s="64" t="n">
        <f aca="false">W77</f>
        <v>260422.420657149</v>
      </c>
      <c r="V78" s="64" t="n">
        <f aca="false">MIN(U78+I78,MAX(T78,0))</f>
        <v>0</v>
      </c>
      <c r="W78" s="64" t="n">
        <f aca="false">U78+I78-V78</f>
        <v>260422.420657149</v>
      </c>
      <c r="X78" s="64" t="n">
        <f aca="false">K78+L78+V78+IF(E78,H78-I78-K78-L78,0)</f>
        <v>0</v>
      </c>
      <c r="Y78" s="61" t="b">
        <f aca="false">AND(Inputs!$C$21=1,O78/Inputs!$C$10&lt;=Inputs!$C$22,Inputs!$G$14&lt;Inputs!$C$23,W78&lt;1)</f>
        <v>0</v>
      </c>
      <c r="Z78" s="61" t="b">
        <f aca="false">OR(AND(Inputs!$G$15=1,H78/Inputs!$C$17&lt;=Inputs!$C$24),AND(Inputs!$G$15=2,C78&gt;=Inputs!$G$16))</f>
        <v>0</v>
      </c>
      <c r="AA78" s="61" t="b">
        <f aca="false">OR(AA77,Z78)</f>
        <v>0</v>
      </c>
      <c r="AB78" s="61" t="b">
        <f aca="false">AND(Z78,NOT(AA77),D78,O78&gt;0)</f>
        <v>0</v>
      </c>
      <c r="AC78" s="63" t="n">
        <f aca="false">IF(AND(Y78,NOT(E78),O78+P78&gt;0),O78/(O78+P78),1)</f>
        <v>1</v>
      </c>
      <c r="AD78" s="64" t="n">
        <f aca="false">IF(AB78,O78,IF(D78,MIN(O78,IF(E78,AC78*X78+BF77,BE78*Inputs!$G$20)),0))</f>
        <v>0</v>
      </c>
      <c r="AE78" s="64" t="n">
        <f aca="false">IF(AB78,P78,IF(D78,MAX(MIN(P78,X78-MIN(O78,AC78*X78)),0),0))</f>
        <v>0</v>
      </c>
      <c r="AF78" s="64" t="n">
        <f aca="false">IF(OR(AB78,E78),0,MAX(H78-I78-K78-L78,0))</f>
        <v>0</v>
      </c>
      <c r="AG78" s="64" t="n">
        <f aca="false">IF(E78,0,O78-AD78)</f>
        <v>0</v>
      </c>
      <c r="AH78" s="64" t="n">
        <f aca="false">IF(OR(AB78,E78),0,P78-AE78)</f>
        <v>256983.980657201</v>
      </c>
      <c r="AI78" s="64" t="n">
        <f aca="false">IF(D78,R78+AD78,0)</f>
        <v>0</v>
      </c>
      <c r="AJ78" s="65" t="n">
        <f aca="false">(C78-Inputs!$G$6)/365</f>
        <v>16.9068493150685</v>
      </c>
      <c r="AK78" s="29" t="n">
        <f aca="false">AG78/Inputs!$C$10</f>
        <v>0</v>
      </c>
      <c r="AL78" s="5"/>
      <c r="AM78" s="66" t="n">
        <f aca="false">F78</f>
        <v>0.261111111111111</v>
      </c>
      <c r="AN78" s="5"/>
      <c r="AO78" s="5" t="n">
        <f aca="false">AO77+LN(1+($G78+AO$7)*$AM78)</f>
        <v>0.429237179283664</v>
      </c>
      <c r="AP78" s="5" t="n">
        <f aca="false">AP77+LN(1+($G78+AP$7)*$AM78)</f>
        <v>0.430940507554383</v>
      </c>
      <c r="AQ78" s="5" t="n">
        <f aca="false">AQ77+LN(1+($G78+AQ$7)*$AM78)</f>
        <v>0.485653562241197</v>
      </c>
      <c r="AR78" s="5" t="n">
        <f aca="false">AR77+LN(1+($G78+AR$7)*$AM78)</f>
        <v>0.487355473927945</v>
      </c>
      <c r="AS78" s="5" t="n">
        <f aca="false">AS77+LN(1+($G78+AS$7)*$AM78)</f>
        <v>0.486272207767025</v>
      </c>
      <c r="AT78" s="5" t="n">
        <f aca="false">AT77+LN(1+($G78+AT$7)*$AM78)</f>
        <v>0.487974103926482</v>
      </c>
      <c r="AU78" s="5" t="n">
        <f aca="false">AU77+LN(1+($G78+AU$7)*$AM78)</f>
        <v>0.48627207568032</v>
      </c>
      <c r="AV78" s="5" t="n">
        <f aca="false">AV77+LN(1+($G78+AV$7)*$AM78)</f>
        <v>0.487973971843091</v>
      </c>
      <c r="AW78" s="5" t="n">
        <f aca="false">AW77+LN(1+($G78+AW$7)*$AM78)</f>
        <v>0.486272075724619</v>
      </c>
      <c r="AX78" s="5" t="n">
        <f aca="false">AX77+LN(1+($G78+AX$7)*$AM78)</f>
        <v>0.487973971887392</v>
      </c>
      <c r="AY78" s="5" t="n">
        <f aca="false">AY77+LN(1+($G78+AY$7)*$AM78)</f>
        <v>0.48627207572461</v>
      </c>
      <c r="AZ78" s="5" t="n">
        <f aca="false">AZ77+LN(1+($G78+AZ$7)*$AM78)</f>
        <v>0.487973971887377</v>
      </c>
      <c r="BA78" s="5" t="n">
        <f aca="false">BA77+LN(1+($G78+BA$7)*$AM78)</f>
        <v>0.48627207572461</v>
      </c>
      <c r="BB78" s="5" t="n">
        <f aca="false">BB77+LN(1+($G78+BB$7)*$AM78)</f>
        <v>0.487973971887377</v>
      </c>
      <c r="BC78" s="5" t="n">
        <f aca="false">BC77+LN(1+($G78+BC$7)*$AM78)</f>
        <v>0.48627207572461</v>
      </c>
      <c r="BD78" s="5" t="n">
        <f aca="false">BD77+LN(1+($G78+BD$7)*$AM78)</f>
        <v>0.487973971887377</v>
      </c>
      <c r="BE78" s="5" t="n">
        <f aca="false">IF(AB78,O78,IF(D78,MIN(O78,AC78*X78+BF77),0))</f>
        <v>0</v>
      </c>
      <c r="BF78" s="5" t="n">
        <f aca="false">IF(OR(AB78,E78),0,BE78-AD78)</f>
        <v>0</v>
      </c>
      <c r="BG78" s="5" t="n">
        <f aca="false">BG77+LN(1+($G78+BG$7)*$AM78)</f>
        <v>0.469250764304827</v>
      </c>
      <c r="BH78" s="5"/>
      <c r="BI78" s="5" t="n">
        <f aca="false">BI77+LN(1+($G78+BI$7)*$AM78)</f>
        <v>0.503289115439595</v>
      </c>
      <c r="BJ78" s="5"/>
      <c r="BK78" s="62" t="n">
        <f aca="false">C78</f>
        <v>52460</v>
      </c>
      <c r="BL78" s="67" t="n">
        <f aca="false">AI78</f>
        <v>0</v>
      </c>
    </row>
    <row r="79" customFormat="false" ht="15" hidden="false" customHeight="true" outlineLevel="0" collapsed="false">
      <c r="A79" s="3" t="n">
        <v>69</v>
      </c>
      <c r="B79" s="38" t="n">
        <f aca="false">EDATE(Inputs!$C$8,3*(A79-1))</f>
        <v>52550</v>
      </c>
      <c r="C79" s="38" t="n">
        <f aca="false">WORKDAY(B79-1,1)</f>
        <v>52551</v>
      </c>
      <c r="D79" s="61" t="b">
        <f aca="false">C79&lt;=Inputs!$C$9</f>
        <v>1</v>
      </c>
      <c r="E79" s="61" t="b">
        <f aca="false">AND(D79,NOT(D80))</f>
        <v>0</v>
      </c>
      <c r="F79" s="63" t="n">
        <f aca="false">(C79-C78)/360</f>
        <v>0.252777777777778</v>
      </c>
      <c r="G79" s="57" t="n">
        <f aca="false">Curve!D72</f>
        <v>0.02252</v>
      </c>
      <c r="H79" s="64" t="n">
        <f aca="false">AF78</f>
        <v>0</v>
      </c>
      <c r="I79" s="64" t="n">
        <f aca="false">IF(D79,H79*Inputs!$G$22,0)</f>
        <v>0</v>
      </c>
      <c r="J79" s="32" t="n">
        <f aca="false">MAX(Inputs!$G$24-(A79-1),1)</f>
        <v>1</v>
      </c>
      <c r="K79" s="64" t="n">
        <f aca="false">IF(D79,MIN(H79-I79,IF(J79&gt;1,(H79-I79)*Inputs!$G$23/((1+Inputs!$G$23)^J79-1),H79-I79)),0)</f>
        <v>0</v>
      </c>
      <c r="L79" s="64" t="n">
        <f aca="false">IF(D79,(H79-I79-K79)*Inputs!$G$21,0)</f>
        <v>0</v>
      </c>
      <c r="M79" s="64" t="n">
        <f aca="false">IF(A79&gt;Inputs!$G$13,(1-Inputs!$G$12)*INDEX($I$11:$I$190,A79-Inputs!$G$13),0)</f>
        <v>0</v>
      </c>
      <c r="N79" s="64" t="n">
        <f aca="false">IF(D79,(H79-I79)*Inputs!$G$23,0)</f>
        <v>0</v>
      </c>
      <c r="O79" s="64" t="n">
        <f aca="false">AG78</f>
        <v>0</v>
      </c>
      <c r="P79" s="64" t="n">
        <f aca="false">AH78</f>
        <v>256983.980657201</v>
      </c>
      <c r="Q79" s="64" t="n">
        <f aca="false">IF(AND(D79,O79+P79&gt;0),Inputs!$C$25+Inputs!$C$26*H79/4,0)</f>
        <v>100000</v>
      </c>
      <c r="R79" s="64" t="n">
        <f aca="false">O79*IF(Inputs!$G$19="",G79+Inputs!$C$13,MAX(Inputs!$G$19,G79+Inputs!$C$13))*F79</f>
        <v>0</v>
      </c>
      <c r="S79" s="64" t="n">
        <f aca="false">P79*(G79+Inputs!$C$14)*F79</f>
        <v>1921.68151448835</v>
      </c>
      <c r="T79" s="64" t="n">
        <f aca="false">N79+M79-Q79-R79-S79</f>
        <v>-101921.681514488</v>
      </c>
      <c r="U79" s="64" t="n">
        <f aca="false">W78</f>
        <v>260422.420657149</v>
      </c>
      <c r="V79" s="64" t="n">
        <f aca="false">MIN(U79+I79,MAX(T79,0))</f>
        <v>0</v>
      </c>
      <c r="W79" s="64" t="n">
        <f aca="false">U79+I79-V79</f>
        <v>260422.420657149</v>
      </c>
      <c r="X79" s="64" t="n">
        <f aca="false">K79+L79+V79+IF(E79,H79-I79-K79-L79,0)</f>
        <v>0</v>
      </c>
      <c r="Y79" s="61" t="b">
        <f aca="false">AND(Inputs!$C$21=1,O79/Inputs!$C$10&lt;=Inputs!$C$22,Inputs!$G$14&lt;Inputs!$C$23,W79&lt;1)</f>
        <v>0</v>
      </c>
      <c r="Z79" s="61" t="b">
        <f aca="false">OR(AND(Inputs!$G$15=1,H79/Inputs!$C$17&lt;=Inputs!$C$24),AND(Inputs!$G$15=2,C79&gt;=Inputs!$G$16))</f>
        <v>0</v>
      </c>
      <c r="AA79" s="61" t="b">
        <f aca="false">OR(AA78,Z79)</f>
        <v>0</v>
      </c>
      <c r="AB79" s="61" t="b">
        <f aca="false">AND(Z79,NOT(AA78),D79,O79&gt;0)</f>
        <v>0</v>
      </c>
      <c r="AC79" s="63" t="n">
        <f aca="false">IF(AND(Y79,NOT(E79),O79+P79&gt;0),O79/(O79+P79),1)</f>
        <v>1</v>
      </c>
      <c r="AD79" s="64" t="n">
        <f aca="false">IF(AB79,O79,IF(D79,MIN(O79,IF(E79,AC79*X79+BF78,BE79*Inputs!$G$20)),0))</f>
        <v>0</v>
      </c>
      <c r="AE79" s="64" t="n">
        <f aca="false">IF(AB79,P79,IF(D79,MAX(MIN(P79,X79-MIN(O79,AC79*X79)),0),0))</f>
        <v>0</v>
      </c>
      <c r="AF79" s="64" t="n">
        <f aca="false">IF(OR(AB79,E79),0,MAX(H79-I79-K79-L79,0))</f>
        <v>0</v>
      </c>
      <c r="AG79" s="64" t="n">
        <f aca="false">IF(E79,0,O79-AD79)</f>
        <v>0</v>
      </c>
      <c r="AH79" s="64" t="n">
        <f aca="false">IF(OR(AB79,E79),0,P79-AE79)</f>
        <v>256983.980657201</v>
      </c>
      <c r="AI79" s="64" t="n">
        <f aca="false">IF(D79,R79+AD79,0)</f>
        <v>0</v>
      </c>
      <c r="AJ79" s="65" t="n">
        <f aca="false">(C79-Inputs!$G$6)/365</f>
        <v>17.1561643835616</v>
      </c>
      <c r="AK79" s="29" t="n">
        <f aca="false">AG79/Inputs!$C$10</f>
        <v>0</v>
      </c>
      <c r="AL79" s="5"/>
      <c r="AM79" s="66" t="n">
        <f aca="false">F79</f>
        <v>0.252777777777778</v>
      </c>
      <c r="AN79" s="5"/>
      <c r="AO79" s="5" t="n">
        <f aca="false">AO78+LN(1+($G79+AO$7)*$AM79)</f>
        <v>0.435566882158494</v>
      </c>
      <c r="AP79" s="5" t="n">
        <f aca="false">AP78+LN(1+($G79+AP$7)*$AM79)</f>
        <v>0.437295328396021</v>
      </c>
      <c r="AQ79" s="5" t="n">
        <f aca="false">AQ78+LN(1+($G79+AQ$7)*$AM79)</f>
        <v>0.492815203920879</v>
      </c>
      <c r="AR79" s="5" t="n">
        <f aca="false">AR78+LN(1+($G79+AR$7)*$AM79)</f>
        <v>0.494542212686777</v>
      </c>
      <c r="AS79" s="5" t="n">
        <f aca="false">AS78+LN(1+($G79+AS$7)*$AM79)</f>
        <v>0.493442972244228</v>
      </c>
      <c r="AT79" s="5" t="n">
        <f aca="false">AT78+LN(1+($G79+AT$7)*$AM79)</f>
        <v>0.495169965253883</v>
      </c>
      <c r="AU79" s="5" t="n">
        <f aca="false">AU78+LN(1+($G79+AU$7)*$AM79)</f>
        <v>0.493442838209719</v>
      </c>
      <c r="AV79" s="5" t="n">
        <f aca="false">AV78+LN(1+($G79+AV$7)*$AM79)</f>
        <v>0.495169831222737</v>
      </c>
      <c r="AW79" s="5" t="n">
        <f aca="false">AW78+LN(1+($G79+AW$7)*$AM79)</f>
        <v>0.493442838254671</v>
      </c>
      <c r="AX79" s="5" t="n">
        <f aca="false">AX78+LN(1+($G79+AX$7)*$AM79)</f>
        <v>0.495169831267691</v>
      </c>
      <c r="AY79" s="5" t="n">
        <f aca="false">AY78+LN(1+($G79+AY$7)*$AM79)</f>
        <v>0.493442838254662</v>
      </c>
      <c r="AZ79" s="5" t="n">
        <f aca="false">AZ78+LN(1+($G79+AZ$7)*$AM79)</f>
        <v>0.495169831267676</v>
      </c>
      <c r="BA79" s="5" t="n">
        <f aca="false">BA78+LN(1+($G79+BA$7)*$AM79)</f>
        <v>0.493442838254662</v>
      </c>
      <c r="BB79" s="5" t="n">
        <f aca="false">BB78+LN(1+($G79+BB$7)*$AM79)</f>
        <v>0.495169831267676</v>
      </c>
      <c r="BC79" s="5" t="n">
        <f aca="false">BC78+LN(1+($G79+BC$7)*$AM79)</f>
        <v>0.493442838254662</v>
      </c>
      <c r="BD79" s="5" t="n">
        <f aca="false">BD78+LN(1+($G79+BD$7)*$AM79)</f>
        <v>0.495169831267676</v>
      </c>
      <c r="BE79" s="5" t="n">
        <f aca="false">IF(AB79,O79,IF(D79,MIN(O79,AC79*X79+BF78),0))</f>
        <v>0</v>
      </c>
      <c r="BF79" s="5" t="n">
        <f aca="false">IF(OR(AB79,E79),0,BE79-AD79)</f>
        <v>0</v>
      </c>
      <c r="BG79" s="5" t="n">
        <f aca="false">BG78+LN(1+($G79+BG$7)*$AM79)</f>
        <v>0.476170523684474</v>
      </c>
      <c r="BH79" s="5"/>
      <c r="BI79" s="5" t="n">
        <f aca="false">BI78+LN(1+($G79+BI$7)*$AM79)</f>
        <v>0.510710818133281</v>
      </c>
      <c r="BJ79" s="5"/>
      <c r="BK79" s="62" t="n">
        <f aca="false">C79</f>
        <v>52551</v>
      </c>
      <c r="BL79" s="67" t="n">
        <f aca="false">AI79</f>
        <v>0</v>
      </c>
    </row>
    <row r="80" customFormat="false" ht="15" hidden="false" customHeight="true" outlineLevel="0" collapsed="false">
      <c r="A80" s="3" t="n">
        <v>70</v>
      </c>
      <c r="B80" s="38" t="n">
        <f aca="false">EDATE(Inputs!$C$8,3*(A80-1))</f>
        <v>52642</v>
      </c>
      <c r="C80" s="38" t="n">
        <f aca="false">WORKDAY(B80-1,1)</f>
        <v>52642</v>
      </c>
      <c r="D80" s="61" t="b">
        <f aca="false">C80&lt;=Inputs!$C$9</f>
        <v>1</v>
      </c>
      <c r="E80" s="61" t="b">
        <f aca="false">AND(D80,NOT(D81))</f>
        <v>0</v>
      </c>
      <c r="F80" s="63" t="n">
        <f aca="false">(C80-C79)/360</f>
        <v>0.252777777777778</v>
      </c>
      <c r="G80" s="57" t="n">
        <f aca="false">Curve!D73</f>
        <v>0.02252</v>
      </c>
      <c r="H80" s="64" t="n">
        <f aca="false">AF79</f>
        <v>0</v>
      </c>
      <c r="I80" s="64" t="n">
        <f aca="false">IF(D80,H80*Inputs!$G$22,0)</f>
        <v>0</v>
      </c>
      <c r="J80" s="32" t="n">
        <f aca="false">MAX(Inputs!$G$24-(A80-1),1)</f>
        <v>1</v>
      </c>
      <c r="K80" s="64" t="n">
        <f aca="false">IF(D80,MIN(H80-I80,IF(J80&gt;1,(H80-I80)*Inputs!$G$23/((1+Inputs!$G$23)^J80-1),H80-I80)),0)</f>
        <v>0</v>
      </c>
      <c r="L80" s="64" t="n">
        <f aca="false">IF(D80,(H80-I80-K80)*Inputs!$G$21,0)</f>
        <v>0</v>
      </c>
      <c r="M80" s="64" t="n">
        <f aca="false">IF(A80&gt;Inputs!$G$13,(1-Inputs!$G$12)*INDEX($I$11:$I$190,A80-Inputs!$G$13),0)</f>
        <v>0</v>
      </c>
      <c r="N80" s="64" t="n">
        <f aca="false">IF(D80,(H80-I80)*Inputs!$G$23,0)</f>
        <v>0</v>
      </c>
      <c r="O80" s="64" t="n">
        <f aca="false">AG79</f>
        <v>0</v>
      </c>
      <c r="P80" s="64" t="n">
        <f aca="false">AH79</f>
        <v>256983.980657201</v>
      </c>
      <c r="Q80" s="64" t="n">
        <f aca="false">IF(AND(D80,O80+P80&gt;0),Inputs!$C$25+Inputs!$C$26*H80/4,0)</f>
        <v>100000</v>
      </c>
      <c r="R80" s="64" t="n">
        <f aca="false">O80*IF(Inputs!$G$19="",G80+Inputs!$C$13,MAX(Inputs!$G$19,G80+Inputs!$C$13))*F80</f>
        <v>0</v>
      </c>
      <c r="S80" s="64" t="n">
        <f aca="false">P80*(G80+Inputs!$C$14)*F80</f>
        <v>1921.68151448835</v>
      </c>
      <c r="T80" s="64" t="n">
        <f aca="false">N80+M80-Q80-R80-S80</f>
        <v>-101921.681514488</v>
      </c>
      <c r="U80" s="64" t="n">
        <f aca="false">W79</f>
        <v>260422.420657149</v>
      </c>
      <c r="V80" s="64" t="n">
        <f aca="false">MIN(U80+I80,MAX(T80,0))</f>
        <v>0</v>
      </c>
      <c r="W80" s="64" t="n">
        <f aca="false">U80+I80-V80</f>
        <v>260422.420657149</v>
      </c>
      <c r="X80" s="64" t="n">
        <f aca="false">K80+L80+V80+IF(E80,H80-I80-K80-L80,0)</f>
        <v>0</v>
      </c>
      <c r="Y80" s="61" t="b">
        <f aca="false">AND(Inputs!$C$21=1,O80/Inputs!$C$10&lt;=Inputs!$C$22,Inputs!$G$14&lt;Inputs!$C$23,W80&lt;1)</f>
        <v>0</v>
      </c>
      <c r="Z80" s="61" t="b">
        <f aca="false">OR(AND(Inputs!$G$15=1,H80/Inputs!$C$17&lt;=Inputs!$C$24),AND(Inputs!$G$15=2,C80&gt;=Inputs!$G$16))</f>
        <v>0</v>
      </c>
      <c r="AA80" s="61" t="b">
        <f aca="false">OR(AA79,Z80)</f>
        <v>0</v>
      </c>
      <c r="AB80" s="61" t="b">
        <f aca="false">AND(Z80,NOT(AA79),D80,O80&gt;0)</f>
        <v>0</v>
      </c>
      <c r="AC80" s="63" t="n">
        <f aca="false">IF(AND(Y80,NOT(E80),O80+P80&gt;0),O80/(O80+P80),1)</f>
        <v>1</v>
      </c>
      <c r="AD80" s="64" t="n">
        <f aca="false">IF(AB80,O80,IF(D80,MIN(O80,IF(E80,AC80*X80+BF79,BE80*Inputs!$G$20)),0))</f>
        <v>0</v>
      </c>
      <c r="AE80" s="64" t="n">
        <f aca="false">IF(AB80,P80,IF(D80,MAX(MIN(P80,X80-MIN(O80,AC80*X80)),0),0))</f>
        <v>0</v>
      </c>
      <c r="AF80" s="64" t="n">
        <f aca="false">IF(OR(AB80,E80),0,MAX(H80-I80-K80-L80,0))</f>
        <v>0</v>
      </c>
      <c r="AG80" s="64" t="n">
        <f aca="false">IF(E80,0,O80-AD80)</f>
        <v>0</v>
      </c>
      <c r="AH80" s="64" t="n">
        <f aca="false">IF(OR(AB80,E80),0,P80-AE80)</f>
        <v>256983.980657201</v>
      </c>
      <c r="AI80" s="64" t="n">
        <f aca="false">IF(D80,R80+AD80,0)</f>
        <v>0</v>
      </c>
      <c r="AJ80" s="65" t="n">
        <f aca="false">(C80-Inputs!$G$6)/365</f>
        <v>17.4054794520548</v>
      </c>
      <c r="AK80" s="29" t="n">
        <f aca="false">AG80/Inputs!$C$10</f>
        <v>0</v>
      </c>
      <c r="AL80" s="5"/>
      <c r="AM80" s="66" t="n">
        <f aca="false">F80</f>
        <v>0.252777777777778</v>
      </c>
      <c r="AN80" s="5"/>
      <c r="AO80" s="5" t="n">
        <f aca="false">AO79+LN(1+($G80+AO$7)*$AM80)</f>
        <v>0.441896585033324</v>
      </c>
      <c r="AP80" s="5" t="n">
        <f aca="false">AP79+LN(1+($G80+AP$7)*$AM80)</f>
        <v>0.44365014923766</v>
      </c>
      <c r="AQ80" s="5" t="n">
        <f aca="false">AQ79+LN(1+($G80+AQ$7)*$AM80)</f>
        <v>0.499976845600562</v>
      </c>
      <c r="AR80" s="5" t="n">
        <f aca="false">AR79+LN(1+($G80+AR$7)*$AM80)</f>
        <v>0.501728951445608</v>
      </c>
      <c r="AS80" s="5" t="n">
        <f aca="false">AS79+LN(1+($G80+AS$7)*$AM80)</f>
        <v>0.500613736721432</v>
      </c>
      <c r="AT80" s="5" t="n">
        <f aca="false">AT79+LN(1+($G80+AT$7)*$AM80)</f>
        <v>0.502365826581284</v>
      </c>
      <c r="AU80" s="5" t="n">
        <f aca="false">AU79+LN(1+($G80+AU$7)*$AM80)</f>
        <v>0.500613600739118</v>
      </c>
      <c r="AV80" s="5" t="n">
        <f aca="false">AV79+LN(1+($G80+AV$7)*$AM80)</f>
        <v>0.502365690602382</v>
      </c>
      <c r="AW80" s="5" t="n">
        <f aca="false">AW79+LN(1+($G80+AW$7)*$AM80)</f>
        <v>0.500613600784724</v>
      </c>
      <c r="AX80" s="5" t="n">
        <f aca="false">AX79+LN(1+($G80+AX$7)*$AM80)</f>
        <v>0.50236569064799</v>
      </c>
      <c r="AY80" s="5" t="n">
        <f aca="false">AY79+LN(1+($G80+AY$7)*$AM80)</f>
        <v>0.500613600784715</v>
      </c>
      <c r="AZ80" s="5" t="n">
        <f aca="false">AZ79+LN(1+($G80+AZ$7)*$AM80)</f>
        <v>0.502365690647974</v>
      </c>
      <c r="BA80" s="5" t="n">
        <f aca="false">BA79+LN(1+($G80+BA$7)*$AM80)</f>
        <v>0.500613600784715</v>
      </c>
      <c r="BB80" s="5" t="n">
        <f aca="false">BB79+LN(1+($G80+BB$7)*$AM80)</f>
        <v>0.502365690647974</v>
      </c>
      <c r="BC80" s="5" t="n">
        <f aca="false">BC79+LN(1+($G80+BC$7)*$AM80)</f>
        <v>0.500613600784715</v>
      </c>
      <c r="BD80" s="5" t="n">
        <f aca="false">BD79+LN(1+($G80+BD$7)*$AM80)</f>
        <v>0.502365690647974</v>
      </c>
      <c r="BE80" s="5" t="n">
        <f aca="false">IF(AB80,O80,IF(D80,MIN(O80,AC80*X80+BF79),0))</f>
        <v>0</v>
      </c>
      <c r="BF80" s="5" t="n">
        <f aca="false">IF(OR(AB80,E80),0,BE80-AD80)</f>
        <v>0</v>
      </c>
      <c r="BG80" s="5" t="n">
        <f aca="false">BG79+LN(1+($G80+BG$7)*$AM80)</f>
        <v>0.483090283064121</v>
      </c>
      <c r="BH80" s="5"/>
      <c r="BI80" s="5" t="n">
        <f aca="false">BI79+LN(1+($G80+BI$7)*$AM80)</f>
        <v>0.518132520826966</v>
      </c>
      <c r="BJ80" s="5"/>
      <c r="BK80" s="62" t="n">
        <f aca="false">C80</f>
        <v>52642</v>
      </c>
      <c r="BL80" s="67" t="n">
        <f aca="false">AI80</f>
        <v>0</v>
      </c>
    </row>
    <row r="81" customFormat="false" ht="15" hidden="false" customHeight="true" outlineLevel="0" collapsed="false">
      <c r="A81" s="3" t="n">
        <v>71</v>
      </c>
      <c r="B81" s="38" t="n">
        <f aca="false">EDATE(Inputs!$C$8,3*(A81-1))</f>
        <v>52732</v>
      </c>
      <c r="C81" s="38" t="n">
        <f aca="false">WORKDAY(B81-1,1)</f>
        <v>52733</v>
      </c>
      <c r="D81" s="61" t="b">
        <f aca="false">C81&lt;=Inputs!$C$9</f>
        <v>1</v>
      </c>
      <c r="E81" s="61" t="b">
        <f aca="false">AND(D81,NOT(D82))</f>
        <v>0</v>
      </c>
      <c r="F81" s="63" t="n">
        <f aca="false">(C81-C80)/360</f>
        <v>0.252777777777778</v>
      </c>
      <c r="G81" s="57" t="n">
        <f aca="false">Curve!D74</f>
        <v>0.02252</v>
      </c>
      <c r="H81" s="64" t="n">
        <f aca="false">AF80</f>
        <v>0</v>
      </c>
      <c r="I81" s="64" t="n">
        <f aca="false">IF(D81,H81*Inputs!$G$22,0)</f>
        <v>0</v>
      </c>
      <c r="J81" s="32" t="n">
        <f aca="false">MAX(Inputs!$G$24-(A81-1),1)</f>
        <v>1</v>
      </c>
      <c r="K81" s="64" t="n">
        <f aca="false">IF(D81,MIN(H81-I81,IF(J81&gt;1,(H81-I81)*Inputs!$G$23/((1+Inputs!$G$23)^J81-1),H81-I81)),0)</f>
        <v>0</v>
      </c>
      <c r="L81" s="64" t="n">
        <f aca="false">IF(D81,(H81-I81-K81)*Inputs!$G$21,0)</f>
        <v>0</v>
      </c>
      <c r="M81" s="64" t="n">
        <f aca="false">IF(A81&gt;Inputs!$G$13,(1-Inputs!$G$12)*INDEX($I$11:$I$190,A81-Inputs!$G$13),0)</f>
        <v>0</v>
      </c>
      <c r="N81" s="64" t="n">
        <f aca="false">IF(D81,(H81-I81)*Inputs!$G$23,0)</f>
        <v>0</v>
      </c>
      <c r="O81" s="64" t="n">
        <f aca="false">AG80</f>
        <v>0</v>
      </c>
      <c r="P81" s="64" t="n">
        <f aca="false">AH80</f>
        <v>256983.980657201</v>
      </c>
      <c r="Q81" s="64" t="n">
        <f aca="false">IF(AND(D81,O81+P81&gt;0),Inputs!$C$25+Inputs!$C$26*H81/4,0)</f>
        <v>100000</v>
      </c>
      <c r="R81" s="64" t="n">
        <f aca="false">O81*IF(Inputs!$G$19="",G81+Inputs!$C$13,MAX(Inputs!$G$19,G81+Inputs!$C$13))*F81</f>
        <v>0</v>
      </c>
      <c r="S81" s="64" t="n">
        <f aca="false">P81*(G81+Inputs!$C$14)*F81</f>
        <v>1921.68151448835</v>
      </c>
      <c r="T81" s="64" t="n">
        <f aca="false">N81+M81-Q81-R81-S81</f>
        <v>-101921.681514488</v>
      </c>
      <c r="U81" s="64" t="n">
        <f aca="false">W80</f>
        <v>260422.420657149</v>
      </c>
      <c r="V81" s="64" t="n">
        <f aca="false">MIN(U81+I81,MAX(T81,0))</f>
        <v>0</v>
      </c>
      <c r="W81" s="64" t="n">
        <f aca="false">U81+I81-V81</f>
        <v>260422.420657149</v>
      </c>
      <c r="X81" s="64" t="n">
        <f aca="false">K81+L81+V81+IF(E81,H81-I81-K81-L81,0)</f>
        <v>0</v>
      </c>
      <c r="Y81" s="61" t="b">
        <f aca="false">AND(Inputs!$C$21=1,O81/Inputs!$C$10&lt;=Inputs!$C$22,Inputs!$G$14&lt;Inputs!$C$23,W81&lt;1)</f>
        <v>0</v>
      </c>
      <c r="Z81" s="61" t="b">
        <f aca="false">OR(AND(Inputs!$G$15=1,H81/Inputs!$C$17&lt;=Inputs!$C$24),AND(Inputs!$G$15=2,C81&gt;=Inputs!$G$16))</f>
        <v>0</v>
      </c>
      <c r="AA81" s="61" t="b">
        <f aca="false">OR(AA80,Z81)</f>
        <v>0</v>
      </c>
      <c r="AB81" s="61" t="b">
        <f aca="false">AND(Z81,NOT(AA80),D81,O81&gt;0)</f>
        <v>0</v>
      </c>
      <c r="AC81" s="63" t="n">
        <f aca="false">IF(AND(Y81,NOT(E81),O81+P81&gt;0),O81/(O81+P81),1)</f>
        <v>1</v>
      </c>
      <c r="AD81" s="64" t="n">
        <f aca="false">IF(AB81,O81,IF(D81,MIN(O81,IF(E81,AC81*X81+BF80,BE81*Inputs!$G$20)),0))</f>
        <v>0</v>
      </c>
      <c r="AE81" s="64" t="n">
        <f aca="false">IF(AB81,P81,IF(D81,MAX(MIN(P81,X81-MIN(O81,AC81*X81)),0),0))</f>
        <v>0</v>
      </c>
      <c r="AF81" s="64" t="n">
        <f aca="false">IF(OR(AB81,E81),0,MAX(H81-I81-K81-L81,0))</f>
        <v>0</v>
      </c>
      <c r="AG81" s="64" t="n">
        <f aca="false">IF(E81,0,O81-AD81)</f>
        <v>0</v>
      </c>
      <c r="AH81" s="64" t="n">
        <f aca="false">IF(OR(AB81,E81),0,P81-AE81)</f>
        <v>256983.980657201</v>
      </c>
      <c r="AI81" s="64" t="n">
        <f aca="false">IF(D81,R81+AD81,0)</f>
        <v>0</v>
      </c>
      <c r="AJ81" s="65" t="n">
        <f aca="false">(C81-Inputs!$G$6)/365</f>
        <v>17.6547945205479</v>
      </c>
      <c r="AK81" s="29" t="n">
        <f aca="false">AG81/Inputs!$C$10</f>
        <v>0</v>
      </c>
      <c r="AL81" s="5"/>
      <c r="AM81" s="66" t="n">
        <f aca="false">F81</f>
        <v>0.252777777777778</v>
      </c>
      <c r="AN81" s="5"/>
      <c r="AO81" s="5" t="n">
        <f aca="false">AO80+LN(1+($G81+AO$7)*$AM81)</f>
        <v>0.448226287908154</v>
      </c>
      <c r="AP81" s="5" t="n">
        <f aca="false">AP80+LN(1+($G81+AP$7)*$AM81)</f>
        <v>0.450004970079299</v>
      </c>
      <c r="AQ81" s="5" t="n">
        <f aca="false">AQ80+LN(1+($G81+AQ$7)*$AM81)</f>
        <v>0.507138487280245</v>
      </c>
      <c r="AR81" s="5" t="n">
        <f aca="false">AR80+LN(1+($G81+AR$7)*$AM81)</f>
        <v>0.50891569020444</v>
      </c>
      <c r="AS81" s="5" t="n">
        <f aca="false">AS80+LN(1+($G81+AS$7)*$AM81)</f>
        <v>0.507784501198635</v>
      </c>
      <c r="AT81" s="5" t="n">
        <f aca="false">AT80+LN(1+($G81+AT$7)*$AM81)</f>
        <v>0.509561687908685</v>
      </c>
      <c r="AU81" s="5" t="n">
        <f aca="false">AU80+LN(1+($G81+AU$7)*$AM81)</f>
        <v>0.507784363268517</v>
      </c>
      <c r="AV81" s="5" t="n">
        <f aca="false">AV80+LN(1+($G81+AV$7)*$AM81)</f>
        <v>0.509561549982028</v>
      </c>
      <c r="AW81" s="5" t="n">
        <f aca="false">AW80+LN(1+($G81+AW$7)*$AM81)</f>
        <v>0.507784363314776</v>
      </c>
      <c r="AX81" s="5" t="n">
        <f aca="false">AX80+LN(1+($G81+AX$7)*$AM81)</f>
        <v>0.509561550028289</v>
      </c>
      <c r="AY81" s="5" t="n">
        <f aca="false">AY80+LN(1+($G81+AY$7)*$AM81)</f>
        <v>0.507784363314767</v>
      </c>
      <c r="AZ81" s="5" t="n">
        <f aca="false">AZ80+LN(1+($G81+AZ$7)*$AM81)</f>
        <v>0.509561550028273</v>
      </c>
      <c r="BA81" s="5" t="n">
        <f aca="false">BA80+LN(1+($G81+BA$7)*$AM81)</f>
        <v>0.507784363314767</v>
      </c>
      <c r="BB81" s="5" t="n">
        <f aca="false">BB80+LN(1+($G81+BB$7)*$AM81)</f>
        <v>0.509561550028273</v>
      </c>
      <c r="BC81" s="5" t="n">
        <f aca="false">BC80+LN(1+($G81+BC$7)*$AM81)</f>
        <v>0.507784363314767</v>
      </c>
      <c r="BD81" s="5" t="n">
        <f aca="false">BD80+LN(1+($G81+BD$7)*$AM81)</f>
        <v>0.509561550028273</v>
      </c>
      <c r="BE81" s="5" t="n">
        <f aca="false">IF(AB81,O81,IF(D81,MIN(O81,AC81*X81+BF80),0))</f>
        <v>0</v>
      </c>
      <c r="BF81" s="5" t="n">
        <f aca="false">IF(OR(AB81,E81),0,BE81-AD81)</f>
        <v>0</v>
      </c>
      <c r="BG81" s="5" t="n">
        <f aca="false">BG80+LN(1+($G81+BG$7)*$AM81)</f>
        <v>0.490010042443768</v>
      </c>
      <c r="BH81" s="5"/>
      <c r="BI81" s="5" t="n">
        <f aca="false">BI80+LN(1+($G81+BI$7)*$AM81)</f>
        <v>0.525554223520652</v>
      </c>
      <c r="BJ81" s="5"/>
      <c r="BK81" s="62" t="n">
        <f aca="false">C81</f>
        <v>52733</v>
      </c>
      <c r="BL81" s="67" t="n">
        <f aca="false">AI81</f>
        <v>0</v>
      </c>
    </row>
    <row r="82" customFormat="false" ht="15" hidden="false" customHeight="true" outlineLevel="0" collapsed="false">
      <c r="A82" s="3" t="n">
        <v>72</v>
      </c>
      <c r="B82" s="38" t="n">
        <f aca="false">EDATE(Inputs!$C$8,3*(A82-1))</f>
        <v>52824</v>
      </c>
      <c r="C82" s="38" t="n">
        <f aca="false">WORKDAY(B82-1,1)</f>
        <v>52824</v>
      </c>
      <c r="D82" s="61" t="b">
        <f aca="false">C82&lt;=Inputs!$C$9</f>
        <v>1</v>
      </c>
      <c r="E82" s="61" t="b">
        <f aca="false">AND(D82,NOT(D83))</f>
        <v>0</v>
      </c>
      <c r="F82" s="63" t="n">
        <f aca="false">(C82-C81)/360</f>
        <v>0.252777777777778</v>
      </c>
      <c r="G82" s="57" t="n">
        <f aca="false">Curve!D75</f>
        <v>0.02252</v>
      </c>
      <c r="H82" s="64" t="n">
        <f aca="false">AF81</f>
        <v>0</v>
      </c>
      <c r="I82" s="64" t="n">
        <f aca="false">IF(D82,H82*Inputs!$G$22,0)</f>
        <v>0</v>
      </c>
      <c r="J82" s="32" t="n">
        <f aca="false">MAX(Inputs!$G$24-(A82-1),1)</f>
        <v>1</v>
      </c>
      <c r="K82" s="64" t="n">
        <f aca="false">IF(D82,MIN(H82-I82,IF(J82&gt;1,(H82-I82)*Inputs!$G$23/((1+Inputs!$G$23)^J82-1),H82-I82)),0)</f>
        <v>0</v>
      </c>
      <c r="L82" s="64" t="n">
        <f aca="false">IF(D82,(H82-I82-K82)*Inputs!$G$21,0)</f>
        <v>0</v>
      </c>
      <c r="M82" s="64" t="n">
        <f aca="false">IF(A82&gt;Inputs!$G$13,(1-Inputs!$G$12)*INDEX($I$11:$I$190,A82-Inputs!$G$13),0)</f>
        <v>0</v>
      </c>
      <c r="N82" s="64" t="n">
        <f aca="false">IF(D82,(H82-I82)*Inputs!$G$23,0)</f>
        <v>0</v>
      </c>
      <c r="O82" s="64" t="n">
        <f aca="false">AG81</f>
        <v>0</v>
      </c>
      <c r="P82" s="64" t="n">
        <f aca="false">AH81</f>
        <v>256983.980657201</v>
      </c>
      <c r="Q82" s="64" t="n">
        <f aca="false">IF(AND(D82,O82+P82&gt;0),Inputs!$C$25+Inputs!$C$26*H82/4,0)</f>
        <v>100000</v>
      </c>
      <c r="R82" s="64" t="n">
        <f aca="false">O82*IF(Inputs!$G$19="",G82+Inputs!$C$13,MAX(Inputs!$G$19,G82+Inputs!$C$13))*F82</f>
        <v>0</v>
      </c>
      <c r="S82" s="64" t="n">
        <f aca="false">P82*(G82+Inputs!$C$14)*F82</f>
        <v>1921.68151448835</v>
      </c>
      <c r="T82" s="64" t="n">
        <f aca="false">N82+M82-Q82-R82-S82</f>
        <v>-101921.681514488</v>
      </c>
      <c r="U82" s="64" t="n">
        <f aca="false">W81</f>
        <v>260422.420657149</v>
      </c>
      <c r="V82" s="64" t="n">
        <f aca="false">MIN(U82+I82,MAX(T82,0))</f>
        <v>0</v>
      </c>
      <c r="W82" s="64" t="n">
        <f aca="false">U82+I82-V82</f>
        <v>260422.420657149</v>
      </c>
      <c r="X82" s="64" t="n">
        <f aca="false">K82+L82+V82+IF(E82,H82-I82-K82-L82,0)</f>
        <v>0</v>
      </c>
      <c r="Y82" s="61" t="b">
        <f aca="false">AND(Inputs!$C$21=1,O82/Inputs!$C$10&lt;=Inputs!$C$22,Inputs!$G$14&lt;Inputs!$C$23,W82&lt;1)</f>
        <v>0</v>
      </c>
      <c r="Z82" s="61" t="b">
        <f aca="false">OR(AND(Inputs!$G$15=1,H82/Inputs!$C$17&lt;=Inputs!$C$24),AND(Inputs!$G$15=2,C82&gt;=Inputs!$G$16))</f>
        <v>0</v>
      </c>
      <c r="AA82" s="61" t="b">
        <f aca="false">OR(AA81,Z82)</f>
        <v>0</v>
      </c>
      <c r="AB82" s="61" t="b">
        <f aca="false">AND(Z82,NOT(AA81),D82,O82&gt;0)</f>
        <v>0</v>
      </c>
      <c r="AC82" s="63" t="n">
        <f aca="false">IF(AND(Y82,NOT(E82),O82+P82&gt;0),O82/(O82+P82),1)</f>
        <v>1</v>
      </c>
      <c r="AD82" s="64" t="n">
        <f aca="false">IF(AB82,O82,IF(D82,MIN(O82,IF(E82,AC82*X82+BF81,BE82*Inputs!$G$20)),0))</f>
        <v>0</v>
      </c>
      <c r="AE82" s="64" t="n">
        <f aca="false">IF(AB82,P82,IF(D82,MAX(MIN(P82,X82-MIN(O82,AC82*X82)),0),0))</f>
        <v>0</v>
      </c>
      <c r="AF82" s="64" t="n">
        <f aca="false">IF(OR(AB82,E82),0,MAX(H82-I82-K82-L82,0))</f>
        <v>0</v>
      </c>
      <c r="AG82" s="64" t="n">
        <f aca="false">IF(E82,0,O82-AD82)</f>
        <v>0</v>
      </c>
      <c r="AH82" s="64" t="n">
        <f aca="false">IF(OR(AB82,E82),0,P82-AE82)</f>
        <v>256983.980657201</v>
      </c>
      <c r="AI82" s="64" t="n">
        <f aca="false">IF(D82,R82+AD82,0)</f>
        <v>0</v>
      </c>
      <c r="AJ82" s="65" t="n">
        <f aca="false">(C82-Inputs!$G$6)/365</f>
        <v>17.9041095890411</v>
      </c>
      <c r="AK82" s="29" t="n">
        <f aca="false">AG82/Inputs!$C$10</f>
        <v>0</v>
      </c>
      <c r="AL82" s="5"/>
      <c r="AM82" s="66" t="n">
        <f aca="false">F82</f>
        <v>0.252777777777778</v>
      </c>
      <c r="AN82" s="5"/>
      <c r="AO82" s="5" t="n">
        <f aca="false">AO81+LN(1+($G82+AO$7)*$AM82)</f>
        <v>0.454555990782984</v>
      </c>
      <c r="AP82" s="5" t="n">
        <f aca="false">AP81+LN(1+($G82+AP$7)*$AM82)</f>
        <v>0.456359790920937</v>
      </c>
      <c r="AQ82" s="5" t="n">
        <f aca="false">AQ81+LN(1+($G82+AQ$7)*$AM82)</f>
        <v>0.514300128959927</v>
      </c>
      <c r="AR82" s="5" t="n">
        <f aca="false">AR81+LN(1+($G82+AR$7)*$AM82)</f>
        <v>0.516102428963272</v>
      </c>
      <c r="AS82" s="5" t="n">
        <f aca="false">AS81+LN(1+($G82+AS$7)*$AM82)</f>
        <v>0.514955265675838</v>
      </c>
      <c r="AT82" s="5" t="n">
        <f aca="false">AT81+LN(1+($G82+AT$7)*$AM82)</f>
        <v>0.516757549236085</v>
      </c>
      <c r="AU82" s="5" t="n">
        <f aca="false">AU81+LN(1+($G82+AU$7)*$AM82)</f>
        <v>0.514955125797916</v>
      </c>
      <c r="AV82" s="5" t="n">
        <f aca="false">AV81+LN(1+($G82+AV$7)*$AM82)</f>
        <v>0.516757409361673</v>
      </c>
      <c r="AW82" s="5" t="n">
        <f aca="false">AW81+LN(1+($G82+AW$7)*$AM82)</f>
        <v>0.514955125844829</v>
      </c>
      <c r="AX82" s="5" t="n">
        <f aca="false">AX81+LN(1+($G82+AX$7)*$AM82)</f>
        <v>0.516757409408587</v>
      </c>
      <c r="AY82" s="5" t="n">
        <f aca="false">AY81+LN(1+($G82+AY$7)*$AM82)</f>
        <v>0.514955125844819</v>
      </c>
      <c r="AZ82" s="5" t="n">
        <f aca="false">AZ81+LN(1+($G82+AZ$7)*$AM82)</f>
        <v>0.516757409408571</v>
      </c>
      <c r="BA82" s="5" t="n">
        <f aca="false">BA81+LN(1+($G82+BA$7)*$AM82)</f>
        <v>0.514955125844819</v>
      </c>
      <c r="BB82" s="5" t="n">
        <f aca="false">BB81+LN(1+($G82+BB$7)*$AM82)</f>
        <v>0.516757409408571</v>
      </c>
      <c r="BC82" s="5" t="n">
        <f aca="false">BC81+LN(1+($G82+BC$7)*$AM82)</f>
        <v>0.514955125844819</v>
      </c>
      <c r="BD82" s="5" t="n">
        <f aca="false">BD81+LN(1+($G82+BD$7)*$AM82)</f>
        <v>0.516757409408571</v>
      </c>
      <c r="BE82" s="5" t="n">
        <f aca="false">IF(AB82,O82,IF(D82,MIN(O82,AC82*X82+BF81),0))</f>
        <v>0</v>
      </c>
      <c r="BF82" s="5" t="n">
        <f aca="false">IF(OR(AB82,E82),0,BE82-AD82)</f>
        <v>0</v>
      </c>
      <c r="BG82" s="5" t="n">
        <f aca="false">BG81+LN(1+($G82+BG$7)*$AM82)</f>
        <v>0.496929801823415</v>
      </c>
      <c r="BH82" s="5"/>
      <c r="BI82" s="5" t="n">
        <f aca="false">BI81+LN(1+($G82+BI$7)*$AM82)</f>
        <v>0.532975926214337</v>
      </c>
      <c r="BJ82" s="5"/>
      <c r="BK82" s="62" t="n">
        <f aca="false">C82</f>
        <v>52824</v>
      </c>
      <c r="BL82" s="67" t="n">
        <f aca="false">AI82</f>
        <v>0</v>
      </c>
    </row>
    <row r="83" customFormat="false" ht="15" hidden="false" customHeight="true" outlineLevel="0" collapsed="false">
      <c r="A83" s="3" t="n">
        <v>73</v>
      </c>
      <c r="B83" s="38" t="n">
        <f aca="false">EDATE(Inputs!$C$8,3*(A83-1))</f>
        <v>52916</v>
      </c>
      <c r="C83" s="38" t="n">
        <f aca="false">WORKDAY(B83-1,1)</f>
        <v>52916</v>
      </c>
      <c r="D83" s="61" t="b">
        <f aca="false">C83&lt;=Inputs!$C$9</f>
        <v>1</v>
      </c>
      <c r="E83" s="61" t="b">
        <f aca="false">AND(D83,NOT(D84))</f>
        <v>0</v>
      </c>
      <c r="F83" s="63" t="n">
        <f aca="false">(C83-C82)/360</f>
        <v>0.255555555555556</v>
      </c>
      <c r="G83" s="57" t="n">
        <f aca="false">Curve!D76</f>
        <v>0.02252</v>
      </c>
      <c r="H83" s="64" t="n">
        <f aca="false">AF82</f>
        <v>0</v>
      </c>
      <c r="I83" s="64" t="n">
        <f aca="false">IF(D83,H83*Inputs!$G$22,0)</f>
        <v>0</v>
      </c>
      <c r="J83" s="32" t="n">
        <f aca="false">MAX(Inputs!$G$24-(A83-1),1)</f>
        <v>1</v>
      </c>
      <c r="K83" s="64" t="n">
        <f aca="false">IF(D83,MIN(H83-I83,IF(J83&gt;1,(H83-I83)*Inputs!$G$23/((1+Inputs!$G$23)^J83-1),H83-I83)),0)</f>
        <v>0</v>
      </c>
      <c r="L83" s="64" t="n">
        <f aca="false">IF(D83,(H83-I83-K83)*Inputs!$G$21,0)</f>
        <v>0</v>
      </c>
      <c r="M83" s="64" t="n">
        <f aca="false">IF(A83&gt;Inputs!$G$13,(1-Inputs!$G$12)*INDEX($I$11:$I$190,A83-Inputs!$G$13),0)</f>
        <v>0</v>
      </c>
      <c r="N83" s="64" t="n">
        <f aca="false">IF(D83,(H83-I83)*Inputs!$G$23,0)</f>
        <v>0</v>
      </c>
      <c r="O83" s="64" t="n">
        <f aca="false">AG82</f>
        <v>0</v>
      </c>
      <c r="P83" s="64" t="n">
        <f aca="false">AH82</f>
        <v>256983.980657201</v>
      </c>
      <c r="Q83" s="64" t="n">
        <f aca="false">IF(AND(D83,O83+P83&gt;0),Inputs!$C$25+Inputs!$C$26*H83/4,0)</f>
        <v>100000</v>
      </c>
      <c r="R83" s="64" t="n">
        <f aca="false">O83*IF(Inputs!$G$19="",G83+Inputs!$C$13,MAX(Inputs!$G$19,G83+Inputs!$C$13))*F83</f>
        <v>0</v>
      </c>
      <c r="S83" s="64" t="n">
        <f aca="false">P83*(G83+Inputs!$C$14)*F83</f>
        <v>1942.79889376844</v>
      </c>
      <c r="T83" s="64" t="n">
        <f aca="false">N83+M83-Q83-R83-S83</f>
        <v>-101942.798893768</v>
      </c>
      <c r="U83" s="64" t="n">
        <f aca="false">W82</f>
        <v>260422.420657149</v>
      </c>
      <c r="V83" s="64" t="n">
        <f aca="false">MIN(U83+I83,MAX(T83,0))</f>
        <v>0</v>
      </c>
      <c r="W83" s="64" t="n">
        <f aca="false">U83+I83-V83</f>
        <v>260422.420657149</v>
      </c>
      <c r="X83" s="64" t="n">
        <f aca="false">K83+L83+V83+IF(E83,H83-I83-K83-L83,0)</f>
        <v>0</v>
      </c>
      <c r="Y83" s="61" t="b">
        <f aca="false">AND(Inputs!$C$21=1,O83/Inputs!$C$10&lt;=Inputs!$C$22,Inputs!$G$14&lt;Inputs!$C$23,W83&lt;1)</f>
        <v>0</v>
      </c>
      <c r="Z83" s="61" t="b">
        <f aca="false">OR(AND(Inputs!$G$15=1,H83/Inputs!$C$17&lt;=Inputs!$C$24),AND(Inputs!$G$15=2,C83&gt;=Inputs!$G$16))</f>
        <v>0</v>
      </c>
      <c r="AA83" s="61" t="b">
        <f aca="false">OR(AA82,Z83)</f>
        <v>0</v>
      </c>
      <c r="AB83" s="61" t="b">
        <f aca="false">AND(Z83,NOT(AA82),D83,O83&gt;0)</f>
        <v>0</v>
      </c>
      <c r="AC83" s="63" t="n">
        <f aca="false">IF(AND(Y83,NOT(E83),O83+P83&gt;0),O83/(O83+P83),1)</f>
        <v>1</v>
      </c>
      <c r="AD83" s="64" t="n">
        <f aca="false">IF(AB83,O83,IF(D83,MIN(O83,IF(E83,AC83*X83+BF82,BE83*Inputs!$G$20)),0))</f>
        <v>0</v>
      </c>
      <c r="AE83" s="64" t="n">
        <f aca="false">IF(AB83,P83,IF(D83,MAX(MIN(P83,X83-MIN(O83,AC83*X83)),0),0))</f>
        <v>0</v>
      </c>
      <c r="AF83" s="64" t="n">
        <f aca="false">IF(OR(AB83,E83),0,MAX(H83-I83-K83-L83,0))</f>
        <v>0</v>
      </c>
      <c r="AG83" s="64" t="n">
        <f aca="false">IF(E83,0,O83-AD83)</f>
        <v>0</v>
      </c>
      <c r="AH83" s="64" t="n">
        <f aca="false">IF(OR(AB83,E83),0,P83-AE83)</f>
        <v>256983.980657201</v>
      </c>
      <c r="AI83" s="64" t="n">
        <f aca="false">IF(D83,R83+AD83,0)</f>
        <v>0</v>
      </c>
      <c r="AJ83" s="65" t="n">
        <f aca="false">(C83-Inputs!$G$6)/365</f>
        <v>18.1561643835616</v>
      </c>
      <c r="AK83" s="29" t="n">
        <f aca="false">AG83/Inputs!$C$10</f>
        <v>0</v>
      </c>
      <c r="AL83" s="5"/>
      <c r="AM83" s="66" t="n">
        <f aca="false">F83</f>
        <v>0.255555555555556</v>
      </c>
      <c r="AN83" s="5"/>
      <c r="AO83" s="5" t="n">
        <f aca="false">AO82+LN(1+($G83+AO$7)*$AM83)</f>
        <v>0.460955028754142</v>
      </c>
      <c r="AP83" s="5" t="n">
        <f aca="false">AP82+LN(1+($G83+AP$7)*$AM83)</f>
        <v>0.462784221116401</v>
      </c>
      <c r="AQ83" s="5" t="n">
        <f aca="false">AQ82+LN(1+($G83+AQ$7)*$AM83)</f>
        <v>0.521540185787408</v>
      </c>
      <c r="AR83" s="5" t="n">
        <f aca="false">AR82+LN(1+($G83+AR$7)*$AM83)</f>
        <v>0.523367856668968</v>
      </c>
      <c r="AS83" s="5" t="n">
        <f aca="false">AS82+LN(1+($G83+AS$7)*$AM83)</f>
        <v>0.522204544827704</v>
      </c>
      <c r="AT83" s="5" t="n">
        <f aca="false">AT82+LN(1+($G83+AT$7)*$AM83)</f>
        <v>0.524032199032192</v>
      </c>
      <c r="AU83" s="5" t="n">
        <f aca="false">AU82+LN(1+($G83+AU$7)*$AM83)</f>
        <v>0.522204402980729</v>
      </c>
      <c r="AV83" s="5" t="n">
        <f aca="false">AV82+LN(1+($G83+AV$7)*$AM83)</f>
        <v>0.524032057188776</v>
      </c>
      <c r="AW83" s="5" t="n">
        <f aca="false">AW82+LN(1+($G83+AW$7)*$AM83)</f>
        <v>0.522204403028301</v>
      </c>
      <c r="AX83" s="5" t="n">
        <f aca="false">AX82+LN(1+($G83+AX$7)*$AM83)</f>
        <v>0.524032057236351</v>
      </c>
      <c r="AY83" s="5" t="n">
        <f aca="false">AY82+LN(1+($G83+AY$7)*$AM83)</f>
        <v>0.522204403028292</v>
      </c>
      <c r="AZ83" s="5" t="n">
        <f aca="false">AZ82+LN(1+($G83+AZ$7)*$AM83)</f>
        <v>0.524032057236335</v>
      </c>
      <c r="BA83" s="5" t="n">
        <f aca="false">BA82+LN(1+($G83+BA$7)*$AM83)</f>
        <v>0.522204403028292</v>
      </c>
      <c r="BB83" s="5" t="n">
        <f aca="false">BB82+LN(1+($G83+BB$7)*$AM83)</f>
        <v>0.524032057236335</v>
      </c>
      <c r="BC83" s="5" t="n">
        <f aca="false">BC82+LN(1+($G83+BC$7)*$AM83)</f>
        <v>0.522204403028292</v>
      </c>
      <c r="BD83" s="5" t="n">
        <f aca="false">BD82+LN(1+($G83+BD$7)*$AM83)</f>
        <v>0.524032057236335</v>
      </c>
      <c r="BE83" s="5" t="n">
        <f aca="false">IF(AB83,O83,IF(D83,MIN(O83,AC83*X83+BF82),0))</f>
        <v>0</v>
      </c>
      <c r="BF83" s="5" t="n">
        <f aca="false">IF(OR(AB83,E83),0,BE83-AD83)</f>
        <v>0</v>
      </c>
      <c r="BG83" s="5" t="n">
        <f aca="false">BG82+LN(1+($G83+BG$7)*$AM83)</f>
        <v>0.503925337155865</v>
      </c>
      <c r="BH83" s="5"/>
      <c r="BI83" s="5" t="n">
        <f aca="false">BI82+LN(1+($G83+BI$7)*$AM83)</f>
        <v>0.540478880880237</v>
      </c>
      <c r="BJ83" s="5"/>
      <c r="BK83" s="62" t="n">
        <f aca="false">C83</f>
        <v>52916</v>
      </c>
      <c r="BL83" s="67" t="n">
        <f aca="false">AI83</f>
        <v>0</v>
      </c>
    </row>
    <row r="84" customFormat="false" ht="15" hidden="false" customHeight="true" outlineLevel="0" collapsed="false">
      <c r="A84" s="3" t="n">
        <v>74</v>
      </c>
      <c r="B84" s="38" t="n">
        <f aca="false">EDATE(Inputs!$C$8,3*(A84-1))</f>
        <v>53008</v>
      </c>
      <c r="C84" s="38" t="n">
        <f aca="false">WORKDAY(B84-1,1)</f>
        <v>53008</v>
      </c>
      <c r="D84" s="61" t="b">
        <f aca="false">C84&lt;=Inputs!$C$9</f>
        <v>1</v>
      </c>
      <c r="E84" s="61" t="b">
        <f aca="false">AND(D84,NOT(D85))</f>
        <v>0</v>
      </c>
      <c r="F84" s="63" t="n">
        <f aca="false">(C84-C83)/360</f>
        <v>0.255555555555556</v>
      </c>
      <c r="G84" s="57" t="n">
        <f aca="false">Curve!D77</f>
        <v>0.02252</v>
      </c>
      <c r="H84" s="64" t="n">
        <f aca="false">AF83</f>
        <v>0</v>
      </c>
      <c r="I84" s="64" t="n">
        <f aca="false">IF(D84,H84*Inputs!$G$22,0)</f>
        <v>0</v>
      </c>
      <c r="J84" s="32" t="n">
        <f aca="false">MAX(Inputs!$G$24-(A84-1),1)</f>
        <v>1</v>
      </c>
      <c r="K84" s="64" t="n">
        <f aca="false">IF(D84,MIN(H84-I84,IF(J84&gt;1,(H84-I84)*Inputs!$G$23/((1+Inputs!$G$23)^J84-1),H84-I84)),0)</f>
        <v>0</v>
      </c>
      <c r="L84" s="64" t="n">
        <f aca="false">IF(D84,(H84-I84-K84)*Inputs!$G$21,0)</f>
        <v>0</v>
      </c>
      <c r="M84" s="64" t="n">
        <f aca="false">IF(A84&gt;Inputs!$G$13,(1-Inputs!$G$12)*INDEX($I$11:$I$190,A84-Inputs!$G$13),0)</f>
        <v>0</v>
      </c>
      <c r="N84" s="64" t="n">
        <f aca="false">IF(D84,(H84-I84)*Inputs!$G$23,0)</f>
        <v>0</v>
      </c>
      <c r="O84" s="64" t="n">
        <f aca="false">AG83</f>
        <v>0</v>
      </c>
      <c r="P84" s="64" t="n">
        <f aca="false">AH83</f>
        <v>256983.980657201</v>
      </c>
      <c r="Q84" s="64" t="n">
        <f aca="false">IF(AND(D84,O84+P84&gt;0),Inputs!$C$25+Inputs!$C$26*H84/4,0)</f>
        <v>100000</v>
      </c>
      <c r="R84" s="64" t="n">
        <f aca="false">O84*IF(Inputs!$G$19="",G84+Inputs!$C$13,MAX(Inputs!$G$19,G84+Inputs!$C$13))*F84</f>
        <v>0</v>
      </c>
      <c r="S84" s="64" t="n">
        <f aca="false">P84*(G84+Inputs!$C$14)*F84</f>
        <v>1942.79889376844</v>
      </c>
      <c r="T84" s="64" t="n">
        <f aca="false">N84+M84-Q84-R84-S84</f>
        <v>-101942.798893768</v>
      </c>
      <c r="U84" s="64" t="n">
        <f aca="false">W83</f>
        <v>260422.420657149</v>
      </c>
      <c r="V84" s="64" t="n">
        <f aca="false">MIN(U84+I84,MAX(T84,0))</f>
        <v>0</v>
      </c>
      <c r="W84" s="64" t="n">
        <f aca="false">U84+I84-V84</f>
        <v>260422.420657149</v>
      </c>
      <c r="X84" s="64" t="n">
        <f aca="false">K84+L84+V84+IF(E84,H84-I84-K84-L84,0)</f>
        <v>0</v>
      </c>
      <c r="Y84" s="61" t="b">
        <f aca="false">AND(Inputs!$C$21=1,O84/Inputs!$C$10&lt;=Inputs!$C$22,Inputs!$G$14&lt;Inputs!$C$23,W84&lt;1)</f>
        <v>0</v>
      </c>
      <c r="Z84" s="61" t="b">
        <f aca="false">OR(AND(Inputs!$G$15=1,H84/Inputs!$C$17&lt;=Inputs!$C$24),AND(Inputs!$G$15=2,C84&gt;=Inputs!$G$16))</f>
        <v>0</v>
      </c>
      <c r="AA84" s="61" t="b">
        <f aca="false">OR(AA83,Z84)</f>
        <v>0</v>
      </c>
      <c r="AB84" s="61" t="b">
        <f aca="false">AND(Z84,NOT(AA83),D84,O84&gt;0)</f>
        <v>0</v>
      </c>
      <c r="AC84" s="63" t="n">
        <f aca="false">IF(AND(Y84,NOT(E84),O84+P84&gt;0),O84/(O84+P84),1)</f>
        <v>1</v>
      </c>
      <c r="AD84" s="64" t="n">
        <f aca="false">IF(AB84,O84,IF(D84,MIN(O84,IF(E84,AC84*X84+BF83,BE84*Inputs!$G$20)),0))</f>
        <v>0</v>
      </c>
      <c r="AE84" s="64" t="n">
        <f aca="false">IF(AB84,P84,IF(D84,MAX(MIN(P84,X84-MIN(O84,AC84*X84)),0),0))</f>
        <v>0</v>
      </c>
      <c r="AF84" s="64" t="n">
        <f aca="false">IF(OR(AB84,E84),0,MAX(H84-I84-K84-L84,0))</f>
        <v>0</v>
      </c>
      <c r="AG84" s="64" t="n">
        <f aca="false">IF(E84,0,O84-AD84)</f>
        <v>0</v>
      </c>
      <c r="AH84" s="64" t="n">
        <f aca="false">IF(OR(AB84,E84),0,P84-AE84)</f>
        <v>256983.980657201</v>
      </c>
      <c r="AI84" s="64" t="n">
        <f aca="false">IF(D84,R84+AD84,0)</f>
        <v>0</v>
      </c>
      <c r="AJ84" s="65" t="n">
        <f aca="false">(C84-Inputs!$G$6)/365</f>
        <v>18.4082191780822</v>
      </c>
      <c r="AK84" s="29" t="n">
        <f aca="false">AG84/Inputs!$C$10</f>
        <v>0</v>
      </c>
      <c r="AL84" s="5"/>
      <c r="AM84" s="66" t="n">
        <f aca="false">F84</f>
        <v>0.255555555555556</v>
      </c>
      <c r="AN84" s="5"/>
      <c r="AO84" s="5" t="n">
        <f aca="false">AO83+LN(1+($G84+AO$7)*$AM84)</f>
        <v>0.467354066725299</v>
      </c>
      <c r="AP84" s="5" t="n">
        <f aca="false">AP83+LN(1+($G84+AP$7)*$AM84)</f>
        <v>0.469208651311864</v>
      </c>
      <c r="AQ84" s="5" t="n">
        <f aca="false">AQ83+LN(1+($G84+AQ$7)*$AM84)</f>
        <v>0.528780242614889</v>
      </c>
      <c r="AR84" s="5" t="n">
        <f aca="false">AR83+LN(1+($G84+AR$7)*$AM84)</f>
        <v>0.530633284374663</v>
      </c>
      <c r="AS84" s="5" t="n">
        <f aca="false">AS83+LN(1+($G84+AS$7)*$AM84)</f>
        <v>0.52945382397957</v>
      </c>
      <c r="AT84" s="5" t="n">
        <f aca="false">AT83+LN(1+($G84+AT$7)*$AM84)</f>
        <v>0.531306848828299</v>
      </c>
      <c r="AU84" s="5" t="n">
        <f aca="false">AU83+LN(1+($G84+AU$7)*$AM84)</f>
        <v>0.529453680163541</v>
      </c>
      <c r="AV84" s="5" t="n">
        <f aca="false">AV83+LN(1+($G84+AV$7)*$AM84)</f>
        <v>0.531306705015879</v>
      </c>
      <c r="AW84" s="5" t="n">
        <f aca="false">AW83+LN(1+($G84+AW$7)*$AM84)</f>
        <v>0.529453680211774</v>
      </c>
      <c r="AX84" s="5" t="n">
        <f aca="false">AX83+LN(1+($G84+AX$7)*$AM84)</f>
        <v>0.531306705064114</v>
      </c>
      <c r="AY84" s="5" t="n">
        <f aca="false">AY83+LN(1+($G84+AY$7)*$AM84)</f>
        <v>0.529453680211764</v>
      </c>
      <c r="AZ84" s="5" t="n">
        <f aca="false">AZ83+LN(1+($G84+AZ$7)*$AM84)</f>
        <v>0.531306705064098</v>
      </c>
      <c r="BA84" s="5" t="n">
        <f aca="false">BA83+LN(1+($G84+BA$7)*$AM84)</f>
        <v>0.529453680211764</v>
      </c>
      <c r="BB84" s="5" t="n">
        <f aca="false">BB83+LN(1+($G84+BB$7)*$AM84)</f>
        <v>0.531306705064098</v>
      </c>
      <c r="BC84" s="5" t="n">
        <f aca="false">BC83+LN(1+($G84+BC$7)*$AM84)</f>
        <v>0.529453680211764</v>
      </c>
      <c r="BD84" s="5" t="n">
        <f aca="false">BD83+LN(1+($G84+BD$7)*$AM84)</f>
        <v>0.531306705064098</v>
      </c>
      <c r="BE84" s="5" t="n">
        <f aca="false">IF(AB84,O84,IF(D84,MIN(O84,AC84*X84+BF83),0))</f>
        <v>0</v>
      </c>
      <c r="BF84" s="5" t="n">
        <f aca="false">IF(OR(AB84,E84),0,BE84-AD84)</f>
        <v>0</v>
      </c>
      <c r="BG84" s="5" t="n">
        <f aca="false">BG83+LN(1+($G84+BG$7)*$AM84)</f>
        <v>0.510920872488316</v>
      </c>
      <c r="BH84" s="5"/>
      <c r="BI84" s="5" t="n">
        <f aca="false">BI83+LN(1+($G84+BI$7)*$AM84)</f>
        <v>0.547981835546137</v>
      </c>
      <c r="BJ84" s="5"/>
      <c r="BK84" s="62" t="n">
        <f aca="false">C84</f>
        <v>53008</v>
      </c>
      <c r="BL84" s="67" t="n">
        <f aca="false">AI84</f>
        <v>0</v>
      </c>
    </row>
    <row r="85" customFormat="false" ht="15" hidden="false" customHeight="true" outlineLevel="0" collapsed="false">
      <c r="A85" s="3" t="n">
        <v>75</v>
      </c>
      <c r="B85" s="38" t="n">
        <f aca="false">EDATE(Inputs!$C$8,3*(A85-1))</f>
        <v>53097</v>
      </c>
      <c r="C85" s="38" t="n">
        <f aca="false">WORKDAY(B85-1,1)</f>
        <v>53097</v>
      </c>
      <c r="D85" s="61" t="b">
        <f aca="false">C85&lt;=Inputs!$C$9</f>
        <v>1</v>
      </c>
      <c r="E85" s="61" t="b">
        <f aca="false">AND(D85,NOT(D86))</f>
        <v>0</v>
      </c>
      <c r="F85" s="63" t="n">
        <f aca="false">(C85-C84)/360</f>
        <v>0.247222222222222</v>
      </c>
      <c r="G85" s="57" t="n">
        <f aca="false">Curve!D78</f>
        <v>0.02252</v>
      </c>
      <c r="H85" s="64" t="n">
        <f aca="false">AF84</f>
        <v>0</v>
      </c>
      <c r="I85" s="64" t="n">
        <f aca="false">IF(D85,H85*Inputs!$G$22,0)</f>
        <v>0</v>
      </c>
      <c r="J85" s="32" t="n">
        <f aca="false">MAX(Inputs!$G$24-(A85-1),1)</f>
        <v>1</v>
      </c>
      <c r="K85" s="64" t="n">
        <f aca="false">IF(D85,MIN(H85-I85,IF(J85&gt;1,(H85-I85)*Inputs!$G$23/((1+Inputs!$G$23)^J85-1),H85-I85)),0)</f>
        <v>0</v>
      </c>
      <c r="L85" s="64" t="n">
        <f aca="false">IF(D85,(H85-I85-K85)*Inputs!$G$21,0)</f>
        <v>0</v>
      </c>
      <c r="M85" s="64" t="n">
        <f aca="false">IF(A85&gt;Inputs!$G$13,(1-Inputs!$G$12)*INDEX($I$11:$I$190,A85-Inputs!$G$13),0)</f>
        <v>0</v>
      </c>
      <c r="N85" s="64" t="n">
        <f aca="false">IF(D85,(H85-I85)*Inputs!$G$23,0)</f>
        <v>0</v>
      </c>
      <c r="O85" s="64" t="n">
        <f aca="false">AG84</f>
        <v>0</v>
      </c>
      <c r="P85" s="64" t="n">
        <f aca="false">AH84</f>
        <v>256983.980657201</v>
      </c>
      <c r="Q85" s="64" t="n">
        <f aca="false">IF(AND(D85,O85+P85&gt;0),Inputs!$C$25+Inputs!$C$26*H85/4,0)</f>
        <v>100000</v>
      </c>
      <c r="R85" s="64" t="n">
        <f aca="false">O85*IF(Inputs!$G$19="",G85+Inputs!$C$13,MAX(Inputs!$G$19,G85+Inputs!$C$13))*F85</f>
        <v>0</v>
      </c>
      <c r="S85" s="64" t="n">
        <f aca="false">P85*(G85+Inputs!$C$14)*F85</f>
        <v>1879.44675592817</v>
      </c>
      <c r="T85" s="64" t="n">
        <f aca="false">N85+M85-Q85-R85-S85</f>
        <v>-101879.446755928</v>
      </c>
      <c r="U85" s="64" t="n">
        <f aca="false">W84</f>
        <v>260422.420657149</v>
      </c>
      <c r="V85" s="64" t="n">
        <f aca="false">MIN(U85+I85,MAX(T85,0))</f>
        <v>0</v>
      </c>
      <c r="W85" s="64" t="n">
        <f aca="false">U85+I85-V85</f>
        <v>260422.420657149</v>
      </c>
      <c r="X85" s="64" t="n">
        <f aca="false">K85+L85+V85+IF(E85,H85-I85-K85-L85,0)</f>
        <v>0</v>
      </c>
      <c r="Y85" s="61" t="b">
        <f aca="false">AND(Inputs!$C$21=1,O85/Inputs!$C$10&lt;=Inputs!$C$22,Inputs!$G$14&lt;Inputs!$C$23,W85&lt;1)</f>
        <v>0</v>
      </c>
      <c r="Z85" s="61" t="b">
        <f aca="false">OR(AND(Inputs!$G$15=1,H85/Inputs!$C$17&lt;=Inputs!$C$24),AND(Inputs!$G$15=2,C85&gt;=Inputs!$G$16))</f>
        <v>0</v>
      </c>
      <c r="AA85" s="61" t="b">
        <f aca="false">OR(AA84,Z85)</f>
        <v>0</v>
      </c>
      <c r="AB85" s="61" t="b">
        <f aca="false">AND(Z85,NOT(AA84),D85,O85&gt;0)</f>
        <v>0</v>
      </c>
      <c r="AC85" s="63" t="n">
        <f aca="false">IF(AND(Y85,NOT(E85),O85+P85&gt;0),O85/(O85+P85),1)</f>
        <v>1</v>
      </c>
      <c r="AD85" s="64" t="n">
        <f aca="false">IF(AB85,O85,IF(D85,MIN(O85,IF(E85,AC85*X85+BF84,BE85*Inputs!$G$20)),0))</f>
        <v>0</v>
      </c>
      <c r="AE85" s="64" t="n">
        <f aca="false">IF(AB85,P85,IF(D85,MAX(MIN(P85,X85-MIN(O85,AC85*X85)),0),0))</f>
        <v>0</v>
      </c>
      <c r="AF85" s="64" t="n">
        <f aca="false">IF(OR(AB85,E85),0,MAX(H85-I85-K85-L85,0))</f>
        <v>0</v>
      </c>
      <c r="AG85" s="64" t="n">
        <f aca="false">IF(E85,0,O85-AD85)</f>
        <v>0</v>
      </c>
      <c r="AH85" s="64" t="n">
        <f aca="false">IF(OR(AB85,E85),0,P85-AE85)</f>
        <v>256983.980657201</v>
      </c>
      <c r="AI85" s="64" t="n">
        <f aca="false">IF(D85,R85+AD85,0)</f>
        <v>0</v>
      </c>
      <c r="AJ85" s="65" t="n">
        <f aca="false">(C85-Inputs!$G$6)/365</f>
        <v>18.6520547945206</v>
      </c>
      <c r="AK85" s="29" t="n">
        <f aca="false">AG85/Inputs!$C$10</f>
        <v>0</v>
      </c>
      <c r="AL85" s="5"/>
      <c r="AM85" s="66" t="n">
        <f aca="false">F85</f>
        <v>0.247222222222222</v>
      </c>
      <c r="AN85" s="5"/>
      <c r="AO85" s="5" t="n">
        <f aca="false">AO84+LN(1+($G85+AO$7)*$AM85)</f>
        <v>0.473545084983741</v>
      </c>
      <c r="AP85" s="5" t="n">
        <f aca="false">AP84+LN(1+($G85+AP$7)*$AM85)</f>
        <v>0.47542423890778</v>
      </c>
      <c r="AQ85" s="5" t="n">
        <f aca="false">AQ84+LN(1+($G85+AQ$7)*$AM85)</f>
        <v>0.535785035549758</v>
      </c>
      <c r="AR85" s="5" t="n">
        <f aca="false">AR84+LN(1+($G85+AR$7)*$AM85)</f>
        <v>0.53766262666148</v>
      </c>
      <c r="AS85" s="5" t="n">
        <f aca="false">AS84+LN(1+($G85+AS$7)*$AM85)</f>
        <v>0.536467540611365</v>
      </c>
      <c r="AT85" s="5" t="n">
        <f aca="false">AT84+LN(1+($G85+AT$7)*$AM85)</f>
        <v>0.538345114592973</v>
      </c>
      <c r="AU85" s="5" t="n">
        <f aca="false">AU84+LN(1+($G85+AU$7)*$AM85)</f>
        <v>0.536467394890041</v>
      </c>
      <c r="AV85" s="5" t="n">
        <f aca="false">AV84+LN(1+($G85+AV$7)*$AM85)</f>
        <v>0.538344968875306</v>
      </c>
      <c r="AW85" s="5" t="n">
        <f aca="false">AW84+LN(1+($G85+AW$7)*$AM85)</f>
        <v>0.536467394938913</v>
      </c>
      <c r="AX85" s="5" t="n">
        <f aca="false">AX84+LN(1+($G85+AX$7)*$AM85)</f>
        <v>0.53834496892418</v>
      </c>
      <c r="AY85" s="5" t="n">
        <f aca="false">AY84+LN(1+($G85+AY$7)*$AM85)</f>
        <v>0.536467394938903</v>
      </c>
      <c r="AZ85" s="5" t="n">
        <f aca="false">AZ84+LN(1+($G85+AZ$7)*$AM85)</f>
        <v>0.538344968924163</v>
      </c>
      <c r="BA85" s="5" t="n">
        <f aca="false">BA84+LN(1+($G85+BA$7)*$AM85)</f>
        <v>0.536467394938903</v>
      </c>
      <c r="BB85" s="5" t="n">
        <f aca="false">BB84+LN(1+($G85+BB$7)*$AM85)</f>
        <v>0.538344968924163</v>
      </c>
      <c r="BC85" s="5" t="n">
        <f aca="false">BC84+LN(1+($G85+BC$7)*$AM85)</f>
        <v>0.536467394938903</v>
      </c>
      <c r="BD85" s="5" t="n">
        <f aca="false">BD84+LN(1+($G85+BD$7)*$AM85)</f>
        <v>0.538344968924163</v>
      </c>
      <c r="BE85" s="5" t="n">
        <f aca="false">IF(AB85,O85,IF(D85,MIN(O85,AC85*X85+BF84),0))</f>
        <v>0</v>
      </c>
      <c r="BF85" s="5" t="n">
        <f aca="false">IF(OR(AB85,E85),0,BE85-AD85)</f>
        <v>0</v>
      </c>
      <c r="BG85" s="5" t="n">
        <f aca="false">BG84+LN(1+($G85+BG$7)*$AM85)</f>
        <v>0.517689062734194</v>
      </c>
      <c r="BH85" s="5"/>
      <c r="BI85" s="5" t="n">
        <f aca="false">BI84+LN(1+($G85+BI$7)*$AM85)</f>
        <v>0.555241014487063</v>
      </c>
      <c r="BJ85" s="5"/>
      <c r="BK85" s="62" t="n">
        <f aca="false">C85</f>
        <v>53097</v>
      </c>
      <c r="BL85" s="67" t="n">
        <f aca="false">AI85</f>
        <v>0</v>
      </c>
    </row>
    <row r="86" customFormat="false" ht="15" hidden="false" customHeight="true" outlineLevel="0" collapsed="false">
      <c r="A86" s="3" t="n">
        <v>76</v>
      </c>
      <c r="B86" s="38" t="n">
        <f aca="false">EDATE(Inputs!$C$8,3*(A86-1))</f>
        <v>53189</v>
      </c>
      <c r="C86" s="38" t="n">
        <f aca="false">WORKDAY(B86-1,1)</f>
        <v>53189</v>
      </c>
      <c r="D86" s="61" t="b">
        <f aca="false">C86&lt;=Inputs!$C$9</f>
        <v>1</v>
      </c>
      <c r="E86" s="61" t="b">
        <f aca="false">AND(D86,NOT(D87))</f>
        <v>0</v>
      </c>
      <c r="F86" s="63" t="n">
        <f aca="false">(C86-C85)/360</f>
        <v>0.255555555555556</v>
      </c>
      <c r="G86" s="57" t="n">
        <f aca="false">Curve!D79</f>
        <v>0.02252</v>
      </c>
      <c r="H86" s="64" t="n">
        <f aca="false">AF85</f>
        <v>0</v>
      </c>
      <c r="I86" s="64" t="n">
        <f aca="false">IF(D86,H86*Inputs!$G$22,0)</f>
        <v>0</v>
      </c>
      <c r="J86" s="32" t="n">
        <f aca="false">MAX(Inputs!$G$24-(A86-1),1)</f>
        <v>1</v>
      </c>
      <c r="K86" s="64" t="n">
        <f aca="false">IF(D86,MIN(H86-I86,IF(J86&gt;1,(H86-I86)*Inputs!$G$23/((1+Inputs!$G$23)^J86-1),H86-I86)),0)</f>
        <v>0</v>
      </c>
      <c r="L86" s="64" t="n">
        <f aca="false">IF(D86,(H86-I86-K86)*Inputs!$G$21,0)</f>
        <v>0</v>
      </c>
      <c r="M86" s="64" t="n">
        <f aca="false">IF(A86&gt;Inputs!$G$13,(1-Inputs!$G$12)*INDEX($I$11:$I$190,A86-Inputs!$G$13),0)</f>
        <v>0</v>
      </c>
      <c r="N86" s="64" t="n">
        <f aca="false">IF(D86,(H86-I86)*Inputs!$G$23,0)</f>
        <v>0</v>
      </c>
      <c r="O86" s="64" t="n">
        <f aca="false">AG85</f>
        <v>0</v>
      </c>
      <c r="P86" s="64" t="n">
        <f aca="false">AH85</f>
        <v>256983.980657201</v>
      </c>
      <c r="Q86" s="64" t="n">
        <f aca="false">IF(AND(D86,O86+P86&gt;0),Inputs!$C$25+Inputs!$C$26*H86/4,0)</f>
        <v>100000</v>
      </c>
      <c r="R86" s="64" t="n">
        <f aca="false">O86*IF(Inputs!$G$19="",G86+Inputs!$C$13,MAX(Inputs!$G$19,G86+Inputs!$C$13))*F86</f>
        <v>0</v>
      </c>
      <c r="S86" s="64" t="n">
        <f aca="false">P86*(G86+Inputs!$C$14)*F86</f>
        <v>1942.79889376844</v>
      </c>
      <c r="T86" s="64" t="n">
        <f aca="false">N86+M86-Q86-R86-S86</f>
        <v>-101942.798893768</v>
      </c>
      <c r="U86" s="64" t="n">
        <f aca="false">W85</f>
        <v>260422.420657149</v>
      </c>
      <c r="V86" s="64" t="n">
        <f aca="false">MIN(U86+I86,MAX(T86,0))</f>
        <v>0</v>
      </c>
      <c r="W86" s="64" t="n">
        <f aca="false">U86+I86-V86</f>
        <v>260422.420657149</v>
      </c>
      <c r="X86" s="64" t="n">
        <f aca="false">K86+L86+V86+IF(E86,H86-I86-K86-L86,0)</f>
        <v>0</v>
      </c>
      <c r="Y86" s="61" t="b">
        <f aca="false">AND(Inputs!$C$21=1,O86/Inputs!$C$10&lt;=Inputs!$C$22,Inputs!$G$14&lt;Inputs!$C$23,W86&lt;1)</f>
        <v>0</v>
      </c>
      <c r="Z86" s="61" t="b">
        <f aca="false">OR(AND(Inputs!$G$15=1,H86/Inputs!$C$17&lt;=Inputs!$C$24),AND(Inputs!$G$15=2,C86&gt;=Inputs!$G$16))</f>
        <v>0</v>
      </c>
      <c r="AA86" s="61" t="b">
        <f aca="false">OR(AA85,Z86)</f>
        <v>0</v>
      </c>
      <c r="AB86" s="61" t="b">
        <f aca="false">AND(Z86,NOT(AA85),D86,O86&gt;0)</f>
        <v>0</v>
      </c>
      <c r="AC86" s="63" t="n">
        <f aca="false">IF(AND(Y86,NOT(E86),O86+P86&gt;0),O86/(O86+P86),1)</f>
        <v>1</v>
      </c>
      <c r="AD86" s="64" t="n">
        <f aca="false">IF(AB86,O86,IF(D86,MIN(O86,IF(E86,AC86*X86+BF85,BE86*Inputs!$G$20)),0))</f>
        <v>0</v>
      </c>
      <c r="AE86" s="64" t="n">
        <f aca="false">IF(AB86,P86,IF(D86,MAX(MIN(P86,X86-MIN(O86,AC86*X86)),0),0))</f>
        <v>0</v>
      </c>
      <c r="AF86" s="64" t="n">
        <f aca="false">IF(OR(AB86,E86),0,MAX(H86-I86-K86-L86,0))</f>
        <v>0</v>
      </c>
      <c r="AG86" s="64" t="n">
        <f aca="false">IF(E86,0,O86-AD86)</f>
        <v>0</v>
      </c>
      <c r="AH86" s="64" t="n">
        <f aca="false">IF(OR(AB86,E86),0,P86-AE86)</f>
        <v>256983.980657201</v>
      </c>
      <c r="AI86" s="64" t="n">
        <f aca="false">IF(D86,R86+AD86,0)</f>
        <v>0</v>
      </c>
      <c r="AJ86" s="65" t="n">
        <f aca="false">(C86-Inputs!$G$6)/365</f>
        <v>18.9041095890411</v>
      </c>
      <c r="AK86" s="29" t="n">
        <f aca="false">AG86/Inputs!$C$10</f>
        <v>0</v>
      </c>
      <c r="AL86" s="5"/>
      <c r="AM86" s="66" t="n">
        <f aca="false">F86</f>
        <v>0.255555555555556</v>
      </c>
      <c r="AN86" s="5"/>
      <c r="AO86" s="5" t="n">
        <f aca="false">AO85+LN(1+($G86+AO$7)*$AM86)</f>
        <v>0.479944122954899</v>
      </c>
      <c r="AP86" s="5" t="n">
        <f aca="false">AP85+LN(1+($G86+AP$7)*$AM86)</f>
        <v>0.481848669103243</v>
      </c>
      <c r="AQ86" s="5" t="n">
        <f aca="false">AQ85+LN(1+($G86+AQ$7)*$AM86)</f>
        <v>0.543025092377238</v>
      </c>
      <c r="AR86" s="5" t="n">
        <f aca="false">AR85+LN(1+($G86+AR$7)*$AM86)</f>
        <v>0.544928054367176</v>
      </c>
      <c r="AS86" s="5" t="n">
        <f aca="false">AS85+LN(1+($G86+AS$7)*$AM86)</f>
        <v>0.543716819763231</v>
      </c>
      <c r="AT86" s="5" t="n">
        <f aca="false">AT85+LN(1+($G86+AT$7)*$AM86)</f>
        <v>0.54561976438908</v>
      </c>
      <c r="AU86" s="5" t="n">
        <f aca="false">AU85+LN(1+($G86+AU$7)*$AM86)</f>
        <v>0.543716672072854</v>
      </c>
      <c r="AV86" s="5" t="n">
        <f aca="false">AV85+LN(1+($G86+AV$7)*$AM86)</f>
        <v>0.545619616702409</v>
      </c>
      <c r="AW86" s="5" t="n">
        <f aca="false">AW85+LN(1+($G86+AW$7)*$AM86)</f>
        <v>0.543716672122386</v>
      </c>
      <c r="AX86" s="5" t="n">
        <f aca="false">AX85+LN(1+($G86+AX$7)*$AM86)</f>
        <v>0.545619616751943</v>
      </c>
      <c r="AY86" s="5" t="n">
        <f aca="false">AY85+LN(1+($G86+AY$7)*$AM86)</f>
        <v>0.543716672122376</v>
      </c>
      <c r="AZ86" s="5" t="n">
        <f aca="false">AZ85+LN(1+($G86+AZ$7)*$AM86)</f>
        <v>0.545619616751926</v>
      </c>
      <c r="BA86" s="5" t="n">
        <f aca="false">BA85+LN(1+($G86+BA$7)*$AM86)</f>
        <v>0.543716672122376</v>
      </c>
      <c r="BB86" s="5" t="n">
        <f aca="false">BB85+LN(1+($G86+BB$7)*$AM86)</f>
        <v>0.545619616751926</v>
      </c>
      <c r="BC86" s="5" t="n">
        <f aca="false">BC85+LN(1+($G86+BC$7)*$AM86)</f>
        <v>0.543716672122376</v>
      </c>
      <c r="BD86" s="5" t="n">
        <f aca="false">BD85+LN(1+($G86+BD$7)*$AM86)</f>
        <v>0.545619616751926</v>
      </c>
      <c r="BE86" s="5" t="n">
        <f aca="false">IF(AB86,O86,IF(D86,MIN(O86,AC86*X86+BF85),0))</f>
        <v>0</v>
      </c>
      <c r="BF86" s="5" t="n">
        <f aca="false">IF(OR(AB86,E86),0,BE86-AD86)</f>
        <v>0</v>
      </c>
      <c r="BG86" s="5" t="n">
        <f aca="false">BG85+LN(1+($G86+BG$7)*$AM86)</f>
        <v>0.524684598066645</v>
      </c>
      <c r="BH86" s="5"/>
      <c r="BI86" s="5" t="n">
        <f aca="false">BI85+LN(1+($G86+BI$7)*$AM86)</f>
        <v>0.562743969152963</v>
      </c>
      <c r="BJ86" s="5"/>
      <c r="BK86" s="62" t="n">
        <f aca="false">C86</f>
        <v>53189</v>
      </c>
      <c r="BL86" s="67" t="n">
        <f aca="false">AI86</f>
        <v>0</v>
      </c>
    </row>
    <row r="87" customFormat="false" ht="15" hidden="false" customHeight="true" outlineLevel="0" collapsed="false">
      <c r="A87" s="3" t="n">
        <v>77</v>
      </c>
      <c r="B87" s="38" t="n">
        <f aca="false">EDATE(Inputs!$C$8,3*(A87-1))</f>
        <v>53281</v>
      </c>
      <c r="C87" s="38" t="n">
        <f aca="false">WORKDAY(B87-1,1)</f>
        <v>53281</v>
      </c>
      <c r="D87" s="61" t="b">
        <f aca="false">C87&lt;=Inputs!$C$9</f>
        <v>1</v>
      </c>
      <c r="E87" s="61" t="b">
        <f aca="false">AND(D87,NOT(D88))</f>
        <v>0</v>
      </c>
      <c r="F87" s="63" t="n">
        <f aca="false">(C87-C86)/360</f>
        <v>0.255555555555556</v>
      </c>
      <c r="G87" s="57" t="n">
        <f aca="false">Curve!D80</f>
        <v>0.02252</v>
      </c>
      <c r="H87" s="64" t="n">
        <f aca="false">AF86</f>
        <v>0</v>
      </c>
      <c r="I87" s="64" t="n">
        <f aca="false">IF(D87,H87*Inputs!$G$22,0)</f>
        <v>0</v>
      </c>
      <c r="J87" s="32" t="n">
        <f aca="false">MAX(Inputs!$G$24-(A87-1),1)</f>
        <v>1</v>
      </c>
      <c r="K87" s="64" t="n">
        <f aca="false">IF(D87,MIN(H87-I87,IF(J87&gt;1,(H87-I87)*Inputs!$G$23/((1+Inputs!$G$23)^J87-1),H87-I87)),0)</f>
        <v>0</v>
      </c>
      <c r="L87" s="64" t="n">
        <f aca="false">IF(D87,(H87-I87-K87)*Inputs!$G$21,0)</f>
        <v>0</v>
      </c>
      <c r="M87" s="64" t="n">
        <f aca="false">IF(A87&gt;Inputs!$G$13,(1-Inputs!$G$12)*INDEX($I$11:$I$190,A87-Inputs!$G$13),0)</f>
        <v>0</v>
      </c>
      <c r="N87" s="64" t="n">
        <f aca="false">IF(D87,(H87-I87)*Inputs!$G$23,0)</f>
        <v>0</v>
      </c>
      <c r="O87" s="64" t="n">
        <f aca="false">AG86</f>
        <v>0</v>
      </c>
      <c r="P87" s="64" t="n">
        <f aca="false">AH86</f>
        <v>256983.980657201</v>
      </c>
      <c r="Q87" s="64" t="n">
        <f aca="false">IF(AND(D87,O87+P87&gt;0),Inputs!$C$25+Inputs!$C$26*H87/4,0)</f>
        <v>100000</v>
      </c>
      <c r="R87" s="64" t="n">
        <f aca="false">O87*IF(Inputs!$G$19="",G87+Inputs!$C$13,MAX(Inputs!$G$19,G87+Inputs!$C$13))*F87</f>
        <v>0</v>
      </c>
      <c r="S87" s="64" t="n">
        <f aca="false">P87*(G87+Inputs!$C$14)*F87</f>
        <v>1942.79889376844</v>
      </c>
      <c r="T87" s="64" t="n">
        <f aca="false">N87+M87-Q87-R87-S87</f>
        <v>-101942.798893768</v>
      </c>
      <c r="U87" s="64" t="n">
        <f aca="false">W86</f>
        <v>260422.420657149</v>
      </c>
      <c r="V87" s="64" t="n">
        <f aca="false">MIN(U87+I87,MAX(T87,0))</f>
        <v>0</v>
      </c>
      <c r="W87" s="64" t="n">
        <f aca="false">U87+I87-V87</f>
        <v>260422.420657149</v>
      </c>
      <c r="X87" s="64" t="n">
        <f aca="false">K87+L87+V87+IF(E87,H87-I87-K87-L87,0)</f>
        <v>0</v>
      </c>
      <c r="Y87" s="61" t="b">
        <f aca="false">AND(Inputs!$C$21=1,O87/Inputs!$C$10&lt;=Inputs!$C$22,Inputs!$G$14&lt;Inputs!$C$23,W87&lt;1)</f>
        <v>0</v>
      </c>
      <c r="Z87" s="61" t="b">
        <f aca="false">OR(AND(Inputs!$G$15=1,H87/Inputs!$C$17&lt;=Inputs!$C$24),AND(Inputs!$G$15=2,C87&gt;=Inputs!$G$16))</f>
        <v>0</v>
      </c>
      <c r="AA87" s="61" t="b">
        <f aca="false">OR(AA86,Z87)</f>
        <v>0</v>
      </c>
      <c r="AB87" s="61" t="b">
        <f aca="false">AND(Z87,NOT(AA86),D87,O87&gt;0)</f>
        <v>0</v>
      </c>
      <c r="AC87" s="63" t="n">
        <f aca="false">IF(AND(Y87,NOT(E87),O87+P87&gt;0),O87/(O87+P87),1)</f>
        <v>1</v>
      </c>
      <c r="AD87" s="64" t="n">
        <f aca="false">IF(AB87,O87,IF(D87,MIN(O87,IF(E87,AC87*X87+BF86,BE87*Inputs!$G$20)),0))</f>
        <v>0</v>
      </c>
      <c r="AE87" s="64" t="n">
        <f aca="false">IF(AB87,P87,IF(D87,MAX(MIN(P87,X87-MIN(O87,AC87*X87)),0),0))</f>
        <v>0</v>
      </c>
      <c r="AF87" s="64" t="n">
        <f aca="false">IF(OR(AB87,E87),0,MAX(H87-I87-K87-L87,0))</f>
        <v>0</v>
      </c>
      <c r="AG87" s="64" t="n">
        <f aca="false">IF(E87,0,O87-AD87)</f>
        <v>0</v>
      </c>
      <c r="AH87" s="64" t="n">
        <f aca="false">IF(OR(AB87,E87),0,P87-AE87)</f>
        <v>256983.980657201</v>
      </c>
      <c r="AI87" s="64" t="n">
        <f aca="false">IF(D87,R87+AD87,0)</f>
        <v>0</v>
      </c>
      <c r="AJ87" s="65" t="n">
        <f aca="false">(C87-Inputs!$G$6)/365</f>
        <v>19.1561643835616</v>
      </c>
      <c r="AK87" s="29" t="n">
        <f aca="false">AG87/Inputs!$C$10</f>
        <v>0</v>
      </c>
      <c r="AL87" s="5"/>
      <c r="AM87" s="66" t="n">
        <f aca="false">F87</f>
        <v>0.255555555555556</v>
      </c>
      <c r="AN87" s="5"/>
      <c r="AO87" s="5" t="n">
        <f aca="false">AO86+LN(1+($G87+AO$7)*$AM87)</f>
        <v>0.486343160926056</v>
      </c>
      <c r="AP87" s="5" t="n">
        <f aca="false">AP86+LN(1+($G87+AP$7)*$AM87)</f>
        <v>0.488273099298707</v>
      </c>
      <c r="AQ87" s="5" t="n">
        <f aca="false">AQ86+LN(1+($G87+AQ$7)*$AM87)</f>
        <v>0.550265149204719</v>
      </c>
      <c r="AR87" s="5" t="n">
        <f aca="false">AR86+LN(1+($G87+AR$7)*$AM87)</f>
        <v>0.552193482072871</v>
      </c>
      <c r="AS87" s="5" t="n">
        <f aca="false">AS86+LN(1+($G87+AS$7)*$AM87)</f>
        <v>0.550966098915097</v>
      </c>
      <c r="AT87" s="5" t="n">
        <f aca="false">AT86+LN(1+($G87+AT$7)*$AM87)</f>
        <v>0.552894414185187</v>
      </c>
      <c r="AU87" s="5" t="n">
        <f aca="false">AU86+LN(1+($G87+AU$7)*$AM87)</f>
        <v>0.550965949255666</v>
      </c>
      <c r="AV87" s="5" t="n">
        <f aca="false">AV86+LN(1+($G87+AV$7)*$AM87)</f>
        <v>0.552894264529512</v>
      </c>
      <c r="AW87" s="5" t="n">
        <f aca="false">AW86+LN(1+($G87+AW$7)*$AM87)</f>
        <v>0.550965949305858</v>
      </c>
      <c r="AX87" s="5" t="n">
        <f aca="false">AX86+LN(1+($G87+AX$7)*$AM87)</f>
        <v>0.552894264579707</v>
      </c>
      <c r="AY87" s="5" t="n">
        <f aca="false">AY86+LN(1+($G87+AY$7)*$AM87)</f>
        <v>0.550965949305848</v>
      </c>
      <c r="AZ87" s="5" t="n">
        <f aca="false">AZ86+LN(1+($G87+AZ$7)*$AM87)</f>
        <v>0.55289426457969</v>
      </c>
      <c r="BA87" s="5" t="n">
        <f aca="false">BA86+LN(1+($G87+BA$7)*$AM87)</f>
        <v>0.550965949305848</v>
      </c>
      <c r="BB87" s="5" t="n">
        <f aca="false">BB86+LN(1+($G87+BB$7)*$AM87)</f>
        <v>0.55289426457969</v>
      </c>
      <c r="BC87" s="5" t="n">
        <f aca="false">BC86+LN(1+($G87+BC$7)*$AM87)</f>
        <v>0.550965949305848</v>
      </c>
      <c r="BD87" s="5" t="n">
        <f aca="false">BD86+LN(1+($G87+BD$7)*$AM87)</f>
        <v>0.55289426457969</v>
      </c>
      <c r="BE87" s="5" t="n">
        <f aca="false">IF(AB87,O87,IF(D87,MIN(O87,AC87*X87+BF86),0))</f>
        <v>0</v>
      </c>
      <c r="BF87" s="5" t="n">
        <f aca="false">IF(OR(AB87,E87),0,BE87-AD87)</f>
        <v>0</v>
      </c>
      <c r="BG87" s="5" t="n">
        <f aca="false">BG86+LN(1+($G87+BG$7)*$AM87)</f>
        <v>0.531680133399096</v>
      </c>
      <c r="BH87" s="5"/>
      <c r="BI87" s="5" t="n">
        <f aca="false">BI86+LN(1+($G87+BI$7)*$AM87)</f>
        <v>0.570246923818863</v>
      </c>
      <c r="BJ87" s="5"/>
      <c r="BK87" s="62" t="n">
        <f aca="false">C87</f>
        <v>53281</v>
      </c>
      <c r="BL87" s="67" t="n">
        <f aca="false">AI87</f>
        <v>0</v>
      </c>
    </row>
    <row r="88" customFormat="false" ht="15" hidden="false" customHeight="true" outlineLevel="0" collapsed="false">
      <c r="A88" s="3" t="n">
        <v>78</v>
      </c>
      <c r="B88" s="38" t="n">
        <f aca="false">EDATE(Inputs!$C$8,3*(A88-1))</f>
        <v>53373</v>
      </c>
      <c r="C88" s="38" t="n">
        <f aca="false">WORKDAY(B88-1,1)</f>
        <v>53373</v>
      </c>
      <c r="D88" s="61" t="b">
        <f aca="false">C88&lt;=Inputs!$C$9</f>
        <v>1</v>
      </c>
      <c r="E88" s="61" t="b">
        <f aca="false">AND(D88,NOT(D89))</f>
        <v>0</v>
      </c>
      <c r="F88" s="63" t="n">
        <f aca="false">(C88-C87)/360</f>
        <v>0.255555555555556</v>
      </c>
      <c r="G88" s="57" t="n">
        <f aca="false">Curve!D81</f>
        <v>0.02252</v>
      </c>
      <c r="H88" s="64" t="n">
        <f aca="false">AF87</f>
        <v>0</v>
      </c>
      <c r="I88" s="64" t="n">
        <f aca="false">IF(D88,H88*Inputs!$G$22,0)</f>
        <v>0</v>
      </c>
      <c r="J88" s="32" t="n">
        <f aca="false">MAX(Inputs!$G$24-(A88-1),1)</f>
        <v>1</v>
      </c>
      <c r="K88" s="64" t="n">
        <f aca="false">IF(D88,MIN(H88-I88,IF(J88&gt;1,(H88-I88)*Inputs!$G$23/((1+Inputs!$G$23)^J88-1),H88-I88)),0)</f>
        <v>0</v>
      </c>
      <c r="L88" s="64" t="n">
        <f aca="false">IF(D88,(H88-I88-K88)*Inputs!$G$21,0)</f>
        <v>0</v>
      </c>
      <c r="M88" s="64" t="n">
        <f aca="false">IF(A88&gt;Inputs!$G$13,(1-Inputs!$G$12)*INDEX($I$11:$I$190,A88-Inputs!$G$13),0)</f>
        <v>0</v>
      </c>
      <c r="N88" s="64" t="n">
        <f aca="false">IF(D88,(H88-I88)*Inputs!$G$23,0)</f>
        <v>0</v>
      </c>
      <c r="O88" s="64" t="n">
        <f aca="false">AG87</f>
        <v>0</v>
      </c>
      <c r="P88" s="64" t="n">
        <f aca="false">AH87</f>
        <v>256983.980657201</v>
      </c>
      <c r="Q88" s="64" t="n">
        <f aca="false">IF(AND(D88,O88+P88&gt;0),Inputs!$C$25+Inputs!$C$26*H88/4,0)</f>
        <v>100000</v>
      </c>
      <c r="R88" s="64" t="n">
        <f aca="false">O88*IF(Inputs!$G$19="",G88+Inputs!$C$13,MAX(Inputs!$G$19,G88+Inputs!$C$13))*F88</f>
        <v>0</v>
      </c>
      <c r="S88" s="64" t="n">
        <f aca="false">P88*(G88+Inputs!$C$14)*F88</f>
        <v>1942.79889376844</v>
      </c>
      <c r="T88" s="64" t="n">
        <f aca="false">N88+M88-Q88-R88-S88</f>
        <v>-101942.798893768</v>
      </c>
      <c r="U88" s="64" t="n">
        <f aca="false">W87</f>
        <v>260422.420657149</v>
      </c>
      <c r="V88" s="64" t="n">
        <f aca="false">MIN(U88+I88,MAX(T88,0))</f>
        <v>0</v>
      </c>
      <c r="W88" s="64" t="n">
        <f aca="false">U88+I88-V88</f>
        <v>260422.420657149</v>
      </c>
      <c r="X88" s="64" t="n">
        <f aca="false">K88+L88+V88+IF(E88,H88-I88-K88-L88,0)</f>
        <v>0</v>
      </c>
      <c r="Y88" s="61" t="b">
        <f aca="false">AND(Inputs!$C$21=1,O88/Inputs!$C$10&lt;=Inputs!$C$22,Inputs!$G$14&lt;Inputs!$C$23,W88&lt;1)</f>
        <v>0</v>
      </c>
      <c r="Z88" s="61" t="b">
        <f aca="false">OR(AND(Inputs!$G$15=1,H88/Inputs!$C$17&lt;=Inputs!$C$24),AND(Inputs!$G$15=2,C88&gt;=Inputs!$G$16))</f>
        <v>0</v>
      </c>
      <c r="AA88" s="61" t="b">
        <f aca="false">OR(AA87,Z88)</f>
        <v>0</v>
      </c>
      <c r="AB88" s="61" t="b">
        <f aca="false">AND(Z88,NOT(AA87),D88,O88&gt;0)</f>
        <v>0</v>
      </c>
      <c r="AC88" s="63" t="n">
        <f aca="false">IF(AND(Y88,NOT(E88),O88+P88&gt;0),O88/(O88+P88),1)</f>
        <v>1</v>
      </c>
      <c r="AD88" s="64" t="n">
        <f aca="false">IF(AB88,O88,IF(D88,MIN(O88,IF(E88,AC88*X88+BF87,BE88*Inputs!$G$20)),0))</f>
        <v>0</v>
      </c>
      <c r="AE88" s="64" t="n">
        <f aca="false">IF(AB88,P88,IF(D88,MAX(MIN(P88,X88-MIN(O88,AC88*X88)),0),0))</f>
        <v>0</v>
      </c>
      <c r="AF88" s="64" t="n">
        <f aca="false">IF(OR(AB88,E88),0,MAX(H88-I88-K88-L88,0))</f>
        <v>0</v>
      </c>
      <c r="AG88" s="64" t="n">
        <f aca="false">IF(E88,0,O88-AD88)</f>
        <v>0</v>
      </c>
      <c r="AH88" s="64" t="n">
        <f aca="false">IF(OR(AB88,E88),0,P88-AE88)</f>
        <v>256983.980657201</v>
      </c>
      <c r="AI88" s="64" t="n">
        <f aca="false">IF(D88,R88+AD88,0)</f>
        <v>0</v>
      </c>
      <c r="AJ88" s="65" t="n">
        <f aca="false">(C88-Inputs!$G$6)/365</f>
        <v>19.4082191780822</v>
      </c>
      <c r="AK88" s="29" t="n">
        <f aca="false">AG88/Inputs!$C$10</f>
        <v>0</v>
      </c>
      <c r="AL88" s="5"/>
      <c r="AM88" s="66" t="n">
        <f aca="false">F88</f>
        <v>0.255555555555556</v>
      </c>
      <c r="AN88" s="5"/>
      <c r="AO88" s="5" t="n">
        <f aca="false">AO87+LN(1+($G88+AO$7)*$AM88)</f>
        <v>0.492742198897214</v>
      </c>
      <c r="AP88" s="5" t="n">
        <f aca="false">AP87+LN(1+($G88+AP$7)*$AM88)</f>
        <v>0.49469752949417</v>
      </c>
      <c r="AQ88" s="5" t="n">
        <f aca="false">AQ87+LN(1+($G88+AQ$7)*$AM88)</f>
        <v>0.5575052060322</v>
      </c>
      <c r="AR88" s="5" t="n">
        <f aca="false">AR87+LN(1+($G88+AR$7)*$AM88)</f>
        <v>0.559458909778567</v>
      </c>
      <c r="AS88" s="5" t="n">
        <f aca="false">AS87+LN(1+($G88+AS$7)*$AM88)</f>
        <v>0.558215378066964</v>
      </c>
      <c r="AT88" s="5" t="n">
        <f aca="false">AT87+LN(1+($G88+AT$7)*$AM88)</f>
        <v>0.560169063981294</v>
      </c>
      <c r="AU88" s="5" t="n">
        <f aca="false">AU87+LN(1+($G88+AU$7)*$AM88)</f>
        <v>0.558215226438478</v>
      </c>
      <c r="AV88" s="5" t="n">
        <f aca="false">AV87+LN(1+($G88+AV$7)*$AM88)</f>
        <v>0.560168912356615</v>
      </c>
      <c r="AW88" s="5" t="n">
        <f aca="false">AW87+LN(1+($G88+AW$7)*$AM88)</f>
        <v>0.558215226489331</v>
      </c>
      <c r="AX88" s="5" t="n">
        <f aca="false">AX87+LN(1+($G88+AX$7)*$AM88)</f>
        <v>0.56016891240747</v>
      </c>
      <c r="AY88" s="5" t="n">
        <f aca="false">AY87+LN(1+($G88+AY$7)*$AM88)</f>
        <v>0.558215226489321</v>
      </c>
      <c r="AZ88" s="5" t="n">
        <f aca="false">AZ87+LN(1+($G88+AZ$7)*$AM88)</f>
        <v>0.560168912407453</v>
      </c>
      <c r="BA88" s="5" t="n">
        <f aca="false">BA87+LN(1+($G88+BA$7)*$AM88)</f>
        <v>0.558215226489321</v>
      </c>
      <c r="BB88" s="5" t="n">
        <f aca="false">BB87+LN(1+($G88+BB$7)*$AM88)</f>
        <v>0.560168912407453</v>
      </c>
      <c r="BC88" s="5" t="n">
        <f aca="false">BC87+LN(1+($G88+BC$7)*$AM88)</f>
        <v>0.558215226489321</v>
      </c>
      <c r="BD88" s="5" t="n">
        <f aca="false">BD87+LN(1+($G88+BD$7)*$AM88)</f>
        <v>0.560168912407453</v>
      </c>
      <c r="BE88" s="5" t="n">
        <f aca="false">IF(AB88,O88,IF(D88,MIN(O88,AC88*X88+BF87),0))</f>
        <v>0</v>
      </c>
      <c r="BF88" s="5" t="n">
        <f aca="false">IF(OR(AB88,E88),0,BE88-AD88)</f>
        <v>0</v>
      </c>
      <c r="BG88" s="5" t="n">
        <f aca="false">BG87+LN(1+($G88+BG$7)*$AM88)</f>
        <v>0.538675668731547</v>
      </c>
      <c r="BH88" s="5"/>
      <c r="BI88" s="5" t="n">
        <f aca="false">BI87+LN(1+($G88+BI$7)*$AM88)</f>
        <v>0.577749878484763</v>
      </c>
      <c r="BJ88" s="5"/>
      <c r="BK88" s="62" t="n">
        <f aca="false">C88</f>
        <v>53373</v>
      </c>
      <c r="BL88" s="67" t="n">
        <f aca="false">AI88</f>
        <v>0</v>
      </c>
    </row>
    <row r="89" customFormat="false" ht="15" hidden="false" customHeight="true" outlineLevel="0" collapsed="false">
      <c r="A89" s="3" t="n">
        <v>79</v>
      </c>
      <c r="B89" s="38" t="n">
        <f aca="false">EDATE(Inputs!$C$8,3*(A89-1))</f>
        <v>53462</v>
      </c>
      <c r="C89" s="38" t="n">
        <f aca="false">WORKDAY(B89-1,1)</f>
        <v>53462</v>
      </c>
      <c r="D89" s="61" t="b">
        <f aca="false">C89&lt;=Inputs!$C$9</f>
        <v>1</v>
      </c>
      <c r="E89" s="61" t="b">
        <f aca="false">AND(D89,NOT(D90))</f>
        <v>0</v>
      </c>
      <c r="F89" s="63" t="n">
        <f aca="false">(C89-C88)/360</f>
        <v>0.247222222222222</v>
      </c>
      <c r="G89" s="57" t="n">
        <f aca="false">Curve!D82</f>
        <v>0.02252</v>
      </c>
      <c r="H89" s="64" t="n">
        <f aca="false">AF88</f>
        <v>0</v>
      </c>
      <c r="I89" s="64" t="n">
        <f aca="false">IF(D89,H89*Inputs!$G$22,0)</f>
        <v>0</v>
      </c>
      <c r="J89" s="32" t="n">
        <f aca="false">MAX(Inputs!$G$24-(A89-1),1)</f>
        <v>1</v>
      </c>
      <c r="K89" s="64" t="n">
        <f aca="false">IF(D89,MIN(H89-I89,IF(J89&gt;1,(H89-I89)*Inputs!$G$23/((1+Inputs!$G$23)^J89-1),H89-I89)),0)</f>
        <v>0</v>
      </c>
      <c r="L89" s="64" t="n">
        <f aca="false">IF(D89,(H89-I89-K89)*Inputs!$G$21,0)</f>
        <v>0</v>
      </c>
      <c r="M89" s="64" t="n">
        <f aca="false">IF(A89&gt;Inputs!$G$13,(1-Inputs!$G$12)*INDEX($I$11:$I$190,A89-Inputs!$G$13),0)</f>
        <v>0</v>
      </c>
      <c r="N89" s="64" t="n">
        <f aca="false">IF(D89,(H89-I89)*Inputs!$G$23,0)</f>
        <v>0</v>
      </c>
      <c r="O89" s="64" t="n">
        <f aca="false">AG88</f>
        <v>0</v>
      </c>
      <c r="P89" s="64" t="n">
        <f aca="false">AH88</f>
        <v>256983.980657201</v>
      </c>
      <c r="Q89" s="64" t="n">
        <f aca="false">IF(AND(D89,O89+P89&gt;0),Inputs!$C$25+Inputs!$C$26*H89/4,0)</f>
        <v>100000</v>
      </c>
      <c r="R89" s="64" t="n">
        <f aca="false">O89*IF(Inputs!$G$19="",G89+Inputs!$C$13,MAX(Inputs!$G$19,G89+Inputs!$C$13))*F89</f>
        <v>0</v>
      </c>
      <c r="S89" s="64" t="n">
        <f aca="false">P89*(G89+Inputs!$C$14)*F89</f>
        <v>1879.44675592817</v>
      </c>
      <c r="T89" s="64" t="n">
        <f aca="false">N89+M89-Q89-R89-S89</f>
        <v>-101879.446755928</v>
      </c>
      <c r="U89" s="64" t="n">
        <f aca="false">W88</f>
        <v>260422.420657149</v>
      </c>
      <c r="V89" s="64" t="n">
        <f aca="false">MIN(U89+I89,MAX(T89,0))</f>
        <v>0</v>
      </c>
      <c r="W89" s="64" t="n">
        <f aca="false">U89+I89-V89</f>
        <v>260422.420657149</v>
      </c>
      <c r="X89" s="64" t="n">
        <f aca="false">K89+L89+V89+IF(E89,H89-I89-K89-L89,0)</f>
        <v>0</v>
      </c>
      <c r="Y89" s="61" t="b">
        <f aca="false">AND(Inputs!$C$21=1,O89/Inputs!$C$10&lt;=Inputs!$C$22,Inputs!$G$14&lt;Inputs!$C$23,W89&lt;1)</f>
        <v>0</v>
      </c>
      <c r="Z89" s="61" t="b">
        <f aca="false">OR(AND(Inputs!$G$15=1,H89/Inputs!$C$17&lt;=Inputs!$C$24),AND(Inputs!$G$15=2,C89&gt;=Inputs!$G$16))</f>
        <v>0</v>
      </c>
      <c r="AA89" s="61" t="b">
        <f aca="false">OR(AA88,Z89)</f>
        <v>0</v>
      </c>
      <c r="AB89" s="61" t="b">
        <f aca="false">AND(Z89,NOT(AA88),D89,O89&gt;0)</f>
        <v>0</v>
      </c>
      <c r="AC89" s="63" t="n">
        <f aca="false">IF(AND(Y89,NOT(E89),O89+P89&gt;0),O89/(O89+P89),1)</f>
        <v>1</v>
      </c>
      <c r="AD89" s="64" t="n">
        <f aca="false">IF(AB89,O89,IF(D89,MIN(O89,IF(E89,AC89*X89+BF88,BE89*Inputs!$G$20)),0))</f>
        <v>0</v>
      </c>
      <c r="AE89" s="64" t="n">
        <f aca="false">IF(AB89,P89,IF(D89,MAX(MIN(P89,X89-MIN(O89,AC89*X89)),0),0))</f>
        <v>0</v>
      </c>
      <c r="AF89" s="64" t="n">
        <f aca="false">IF(OR(AB89,E89),0,MAX(H89-I89-K89-L89,0))</f>
        <v>0</v>
      </c>
      <c r="AG89" s="64" t="n">
        <f aca="false">IF(E89,0,O89-AD89)</f>
        <v>0</v>
      </c>
      <c r="AH89" s="64" t="n">
        <f aca="false">IF(OR(AB89,E89),0,P89-AE89)</f>
        <v>256983.980657201</v>
      </c>
      <c r="AI89" s="64" t="n">
        <f aca="false">IF(D89,R89+AD89,0)</f>
        <v>0</v>
      </c>
      <c r="AJ89" s="65" t="n">
        <f aca="false">(C89-Inputs!$G$6)/365</f>
        <v>19.6520547945206</v>
      </c>
      <c r="AK89" s="29" t="n">
        <f aca="false">AG89/Inputs!$C$10</f>
        <v>0</v>
      </c>
      <c r="AL89" s="5"/>
      <c r="AM89" s="66" t="n">
        <f aca="false">F89</f>
        <v>0.247222222222222</v>
      </c>
      <c r="AN89" s="5"/>
      <c r="AO89" s="5" t="n">
        <f aca="false">AO88+LN(1+($G89+AO$7)*$AM89)</f>
        <v>0.498933217155656</v>
      </c>
      <c r="AP89" s="5" t="n">
        <f aca="false">AP88+LN(1+($G89+AP$7)*$AM89)</f>
        <v>0.500913117090086</v>
      </c>
      <c r="AQ89" s="5" t="n">
        <f aca="false">AQ88+LN(1+($G89+AQ$7)*$AM89)</f>
        <v>0.564509998967069</v>
      </c>
      <c r="AR89" s="5" t="n">
        <f aca="false">AR88+LN(1+($G89+AR$7)*$AM89)</f>
        <v>0.566488252065384</v>
      </c>
      <c r="AS89" s="5" t="n">
        <f aca="false">AS88+LN(1+($G89+AS$7)*$AM89)</f>
        <v>0.565229094698758</v>
      </c>
      <c r="AT89" s="5" t="n">
        <f aca="false">AT88+LN(1+($G89+AT$7)*$AM89)</f>
        <v>0.567207329745968</v>
      </c>
      <c r="AU89" s="5" t="n">
        <f aca="false">AU88+LN(1+($G89+AU$7)*$AM89)</f>
        <v>0.565228941164978</v>
      </c>
      <c r="AV89" s="5" t="n">
        <f aca="false">AV88+LN(1+($G89+AV$7)*$AM89)</f>
        <v>0.567207176216041</v>
      </c>
      <c r="AW89" s="5" t="n">
        <f aca="false">AW88+LN(1+($G89+AW$7)*$AM89)</f>
        <v>0.56522894121647</v>
      </c>
      <c r="AX89" s="5" t="n">
        <f aca="false">AX88+LN(1+($G89+AX$7)*$AM89)</f>
        <v>0.567207176267536</v>
      </c>
      <c r="AY89" s="5" t="n">
        <f aca="false">AY88+LN(1+($G89+AY$7)*$AM89)</f>
        <v>0.56522894121646</v>
      </c>
      <c r="AZ89" s="5" t="n">
        <f aca="false">AZ88+LN(1+($G89+AZ$7)*$AM89)</f>
        <v>0.567207176267518</v>
      </c>
      <c r="BA89" s="5" t="n">
        <f aca="false">BA88+LN(1+($G89+BA$7)*$AM89)</f>
        <v>0.56522894121646</v>
      </c>
      <c r="BB89" s="5" t="n">
        <f aca="false">BB88+LN(1+($G89+BB$7)*$AM89)</f>
        <v>0.567207176267518</v>
      </c>
      <c r="BC89" s="5" t="n">
        <f aca="false">BC88+LN(1+($G89+BC$7)*$AM89)</f>
        <v>0.56522894121646</v>
      </c>
      <c r="BD89" s="5" t="n">
        <f aca="false">BD88+LN(1+($G89+BD$7)*$AM89)</f>
        <v>0.567207176267518</v>
      </c>
      <c r="BE89" s="5" t="n">
        <f aca="false">IF(AB89,O89,IF(D89,MIN(O89,AC89*X89+BF88),0))</f>
        <v>0</v>
      </c>
      <c r="BF89" s="5" t="n">
        <f aca="false">IF(OR(AB89,E89),0,BE89-AD89)</f>
        <v>0</v>
      </c>
      <c r="BG89" s="5" t="n">
        <f aca="false">BG88+LN(1+($G89+BG$7)*$AM89)</f>
        <v>0.545443858977425</v>
      </c>
      <c r="BH89" s="5"/>
      <c r="BI89" s="5" t="n">
        <f aca="false">BI88+LN(1+($G89+BI$7)*$AM89)</f>
        <v>0.585009057425689</v>
      </c>
      <c r="BJ89" s="5"/>
      <c r="BK89" s="62" t="n">
        <f aca="false">C89</f>
        <v>53462</v>
      </c>
      <c r="BL89" s="67" t="n">
        <f aca="false">AI89</f>
        <v>0</v>
      </c>
    </row>
    <row r="90" customFormat="false" ht="15" hidden="false" customHeight="true" outlineLevel="0" collapsed="false">
      <c r="A90" s="3" t="n">
        <v>80</v>
      </c>
      <c r="B90" s="38" t="n">
        <f aca="false">EDATE(Inputs!$C$8,3*(A90-1))</f>
        <v>53554</v>
      </c>
      <c r="C90" s="38" t="n">
        <f aca="false">WORKDAY(B90-1,1)</f>
        <v>53554</v>
      </c>
      <c r="D90" s="61" t="b">
        <f aca="false">C90&lt;=Inputs!$C$9</f>
        <v>1</v>
      </c>
      <c r="E90" s="61" t="b">
        <f aca="false">AND(D90,NOT(D91))</f>
        <v>0</v>
      </c>
      <c r="F90" s="63" t="n">
        <f aca="false">(C90-C89)/360</f>
        <v>0.255555555555556</v>
      </c>
      <c r="G90" s="57" t="n">
        <f aca="false">Curve!D83</f>
        <v>0.02252</v>
      </c>
      <c r="H90" s="64" t="n">
        <f aca="false">AF89</f>
        <v>0</v>
      </c>
      <c r="I90" s="64" t="n">
        <f aca="false">IF(D90,H90*Inputs!$G$22,0)</f>
        <v>0</v>
      </c>
      <c r="J90" s="32" t="n">
        <f aca="false">MAX(Inputs!$G$24-(A90-1),1)</f>
        <v>1</v>
      </c>
      <c r="K90" s="64" t="n">
        <f aca="false">IF(D90,MIN(H90-I90,IF(J90&gt;1,(H90-I90)*Inputs!$G$23/((1+Inputs!$G$23)^J90-1),H90-I90)),0)</f>
        <v>0</v>
      </c>
      <c r="L90" s="64" t="n">
        <f aca="false">IF(D90,(H90-I90-K90)*Inputs!$G$21,0)</f>
        <v>0</v>
      </c>
      <c r="M90" s="64" t="n">
        <f aca="false">IF(A90&gt;Inputs!$G$13,(1-Inputs!$G$12)*INDEX($I$11:$I$190,A90-Inputs!$G$13),0)</f>
        <v>0</v>
      </c>
      <c r="N90" s="64" t="n">
        <f aca="false">IF(D90,(H90-I90)*Inputs!$G$23,0)</f>
        <v>0</v>
      </c>
      <c r="O90" s="64" t="n">
        <f aca="false">AG89</f>
        <v>0</v>
      </c>
      <c r="P90" s="64" t="n">
        <f aca="false">AH89</f>
        <v>256983.980657201</v>
      </c>
      <c r="Q90" s="64" t="n">
        <f aca="false">IF(AND(D90,O90+P90&gt;0),Inputs!$C$25+Inputs!$C$26*H90/4,0)</f>
        <v>100000</v>
      </c>
      <c r="R90" s="64" t="n">
        <f aca="false">O90*IF(Inputs!$G$19="",G90+Inputs!$C$13,MAX(Inputs!$G$19,G90+Inputs!$C$13))*F90</f>
        <v>0</v>
      </c>
      <c r="S90" s="64" t="n">
        <f aca="false">P90*(G90+Inputs!$C$14)*F90</f>
        <v>1942.79889376844</v>
      </c>
      <c r="T90" s="64" t="n">
        <f aca="false">N90+M90-Q90-R90-S90</f>
        <v>-101942.798893768</v>
      </c>
      <c r="U90" s="64" t="n">
        <f aca="false">W89</f>
        <v>260422.420657149</v>
      </c>
      <c r="V90" s="64" t="n">
        <f aca="false">MIN(U90+I90,MAX(T90,0))</f>
        <v>0</v>
      </c>
      <c r="W90" s="64" t="n">
        <f aca="false">U90+I90-V90</f>
        <v>260422.420657149</v>
      </c>
      <c r="X90" s="64" t="n">
        <f aca="false">K90+L90+V90+IF(E90,H90-I90-K90-L90,0)</f>
        <v>0</v>
      </c>
      <c r="Y90" s="61" t="b">
        <f aca="false">AND(Inputs!$C$21=1,O90/Inputs!$C$10&lt;=Inputs!$C$22,Inputs!$G$14&lt;Inputs!$C$23,W90&lt;1)</f>
        <v>0</v>
      </c>
      <c r="Z90" s="61" t="b">
        <f aca="false">OR(AND(Inputs!$G$15=1,H90/Inputs!$C$17&lt;=Inputs!$C$24),AND(Inputs!$G$15=2,C90&gt;=Inputs!$G$16))</f>
        <v>0</v>
      </c>
      <c r="AA90" s="61" t="b">
        <f aca="false">OR(AA89,Z90)</f>
        <v>0</v>
      </c>
      <c r="AB90" s="61" t="b">
        <f aca="false">AND(Z90,NOT(AA89),D90,O90&gt;0)</f>
        <v>0</v>
      </c>
      <c r="AC90" s="63" t="n">
        <f aca="false">IF(AND(Y90,NOT(E90),O90+P90&gt;0),O90/(O90+P90),1)</f>
        <v>1</v>
      </c>
      <c r="AD90" s="64" t="n">
        <f aca="false">IF(AB90,O90,IF(D90,MIN(O90,IF(E90,AC90*X90+BF89,BE90*Inputs!$G$20)),0))</f>
        <v>0</v>
      </c>
      <c r="AE90" s="64" t="n">
        <f aca="false">IF(AB90,P90,IF(D90,MAX(MIN(P90,X90-MIN(O90,AC90*X90)),0),0))</f>
        <v>0</v>
      </c>
      <c r="AF90" s="64" t="n">
        <f aca="false">IF(OR(AB90,E90),0,MAX(H90-I90-K90-L90,0))</f>
        <v>0</v>
      </c>
      <c r="AG90" s="64" t="n">
        <f aca="false">IF(E90,0,O90-AD90)</f>
        <v>0</v>
      </c>
      <c r="AH90" s="64" t="n">
        <f aca="false">IF(OR(AB90,E90),0,P90-AE90)</f>
        <v>256983.980657201</v>
      </c>
      <c r="AI90" s="64" t="n">
        <f aca="false">IF(D90,R90+AD90,0)</f>
        <v>0</v>
      </c>
      <c r="AJ90" s="65" t="n">
        <f aca="false">(C90-Inputs!$G$6)/365</f>
        <v>19.9041095890411</v>
      </c>
      <c r="AK90" s="29" t="n">
        <f aca="false">AG90/Inputs!$C$10</f>
        <v>0</v>
      </c>
      <c r="AL90" s="5"/>
      <c r="AM90" s="66" t="n">
        <f aca="false">F90</f>
        <v>0.255555555555556</v>
      </c>
      <c r="AN90" s="5"/>
      <c r="AO90" s="5" t="n">
        <f aca="false">AO89+LN(1+($G90+AO$7)*$AM90)</f>
        <v>0.505332255126813</v>
      </c>
      <c r="AP90" s="5" t="n">
        <f aca="false">AP89+LN(1+($G90+AP$7)*$AM90)</f>
        <v>0.50733754728555</v>
      </c>
      <c r="AQ90" s="5" t="n">
        <f aca="false">AQ89+LN(1+($G90+AQ$7)*$AM90)</f>
        <v>0.571750055794549</v>
      </c>
      <c r="AR90" s="5" t="n">
        <f aca="false">AR89+LN(1+($G90+AR$7)*$AM90)</f>
        <v>0.573753679771079</v>
      </c>
      <c r="AS90" s="5" t="n">
        <f aca="false">AS89+LN(1+($G90+AS$7)*$AM90)</f>
        <v>0.572478373850624</v>
      </c>
      <c r="AT90" s="5" t="n">
        <f aca="false">AT89+LN(1+($G90+AT$7)*$AM90)</f>
        <v>0.574481979542075</v>
      </c>
      <c r="AU90" s="5" t="n">
        <f aca="false">AU89+LN(1+($G90+AU$7)*$AM90)</f>
        <v>0.572478218347791</v>
      </c>
      <c r="AV90" s="5" t="n">
        <f aca="false">AV89+LN(1+($G90+AV$7)*$AM90)</f>
        <v>0.574481824043144</v>
      </c>
      <c r="AW90" s="5" t="n">
        <f aca="false">AW89+LN(1+($G90+AW$7)*$AM90)</f>
        <v>0.572478218399942</v>
      </c>
      <c r="AX90" s="5" t="n">
        <f aca="false">AX89+LN(1+($G90+AX$7)*$AM90)</f>
        <v>0.574481824095299</v>
      </c>
      <c r="AY90" s="5" t="n">
        <f aca="false">AY89+LN(1+($G90+AY$7)*$AM90)</f>
        <v>0.572478218399932</v>
      </c>
      <c r="AZ90" s="5" t="n">
        <f aca="false">AZ89+LN(1+($G90+AZ$7)*$AM90)</f>
        <v>0.574481824095281</v>
      </c>
      <c r="BA90" s="5" t="n">
        <f aca="false">BA89+LN(1+($G90+BA$7)*$AM90)</f>
        <v>0.572478218399932</v>
      </c>
      <c r="BB90" s="5" t="n">
        <f aca="false">BB89+LN(1+($G90+BB$7)*$AM90)</f>
        <v>0.574481824095281</v>
      </c>
      <c r="BC90" s="5" t="n">
        <f aca="false">BC89+LN(1+($G90+BC$7)*$AM90)</f>
        <v>0.572478218399932</v>
      </c>
      <c r="BD90" s="5" t="n">
        <f aca="false">BD89+LN(1+($G90+BD$7)*$AM90)</f>
        <v>0.574481824095281</v>
      </c>
      <c r="BE90" s="5" t="n">
        <f aca="false">IF(AB90,O90,IF(D90,MIN(O90,AC90*X90+BF89),0))</f>
        <v>0</v>
      </c>
      <c r="BF90" s="5" t="n">
        <f aca="false">IF(OR(AB90,E90),0,BE90-AD90)</f>
        <v>0</v>
      </c>
      <c r="BG90" s="5" t="n">
        <f aca="false">BG89+LN(1+($G90+BG$7)*$AM90)</f>
        <v>0.552439394309875</v>
      </c>
      <c r="BH90" s="5"/>
      <c r="BI90" s="5" t="n">
        <f aca="false">BI89+LN(1+($G90+BI$7)*$AM90)</f>
        <v>0.592512012091589</v>
      </c>
      <c r="BJ90" s="5"/>
      <c r="BK90" s="62" t="n">
        <f aca="false">C90</f>
        <v>53554</v>
      </c>
      <c r="BL90" s="67" t="n">
        <f aca="false">AI90</f>
        <v>0</v>
      </c>
    </row>
    <row r="91" customFormat="false" ht="15" hidden="false" customHeight="true" outlineLevel="0" collapsed="false">
      <c r="A91" s="3" t="n">
        <v>81</v>
      </c>
      <c r="B91" s="38" t="n">
        <f aca="false">EDATE(Inputs!$C$8,3*(A91-1))</f>
        <v>53646</v>
      </c>
      <c r="C91" s="38" t="n">
        <f aca="false">WORKDAY(B91-1,1)</f>
        <v>53646</v>
      </c>
      <c r="D91" s="61" t="b">
        <f aca="false">C91&lt;=Inputs!$C$9</f>
        <v>1</v>
      </c>
      <c r="E91" s="61" t="b">
        <f aca="false">AND(D91,NOT(D92))</f>
        <v>0</v>
      </c>
      <c r="F91" s="63" t="n">
        <f aca="false">(C91-C90)/360</f>
        <v>0.255555555555556</v>
      </c>
      <c r="G91" s="57" t="n">
        <f aca="false">Curve!D84</f>
        <v>0.02252</v>
      </c>
      <c r="H91" s="64" t="n">
        <f aca="false">AF90</f>
        <v>0</v>
      </c>
      <c r="I91" s="64" t="n">
        <f aca="false">IF(D91,H91*Inputs!$G$22,0)</f>
        <v>0</v>
      </c>
      <c r="J91" s="32" t="n">
        <f aca="false">MAX(Inputs!$G$24-(A91-1),1)</f>
        <v>1</v>
      </c>
      <c r="K91" s="64" t="n">
        <f aca="false">IF(D91,MIN(H91-I91,IF(J91&gt;1,(H91-I91)*Inputs!$G$23/((1+Inputs!$G$23)^J91-1),H91-I91)),0)</f>
        <v>0</v>
      </c>
      <c r="L91" s="64" t="n">
        <f aca="false">IF(D91,(H91-I91-K91)*Inputs!$G$21,0)</f>
        <v>0</v>
      </c>
      <c r="M91" s="64" t="n">
        <f aca="false">IF(A91&gt;Inputs!$G$13,(1-Inputs!$G$12)*INDEX($I$11:$I$190,A91-Inputs!$G$13),0)</f>
        <v>0</v>
      </c>
      <c r="N91" s="64" t="n">
        <f aca="false">IF(D91,(H91-I91)*Inputs!$G$23,0)</f>
        <v>0</v>
      </c>
      <c r="O91" s="64" t="n">
        <f aca="false">AG90</f>
        <v>0</v>
      </c>
      <c r="P91" s="64" t="n">
        <f aca="false">AH90</f>
        <v>256983.980657201</v>
      </c>
      <c r="Q91" s="64" t="n">
        <f aca="false">IF(AND(D91,O91+P91&gt;0),Inputs!$C$25+Inputs!$C$26*H91/4,0)</f>
        <v>100000</v>
      </c>
      <c r="R91" s="64" t="n">
        <f aca="false">O91*IF(Inputs!$G$19="",G91+Inputs!$C$13,MAX(Inputs!$G$19,G91+Inputs!$C$13))*F91</f>
        <v>0</v>
      </c>
      <c r="S91" s="64" t="n">
        <f aca="false">P91*(G91+Inputs!$C$14)*F91</f>
        <v>1942.79889376844</v>
      </c>
      <c r="T91" s="64" t="n">
        <f aca="false">N91+M91-Q91-R91-S91</f>
        <v>-101942.798893768</v>
      </c>
      <c r="U91" s="64" t="n">
        <f aca="false">W90</f>
        <v>260422.420657149</v>
      </c>
      <c r="V91" s="64" t="n">
        <f aca="false">MIN(U91+I91,MAX(T91,0))</f>
        <v>0</v>
      </c>
      <c r="W91" s="64" t="n">
        <f aca="false">U91+I91-V91</f>
        <v>260422.420657149</v>
      </c>
      <c r="X91" s="64" t="n">
        <f aca="false">K91+L91+V91+IF(E91,H91-I91-K91-L91,0)</f>
        <v>0</v>
      </c>
      <c r="Y91" s="61" t="b">
        <f aca="false">AND(Inputs!$C$21=1,O91/Inputs!$C$10&lt;=Inputs!$C$22,Inputs!$G$14&lt;Inputs!$C$23,W91&lt;1)</f>
        <v>0</v>
      </c>
      <c r="Z91" s="61" t="b">
        <f aca="false">OR(AND(Inputs!$G$15=1,H91/Inputs!$C$17&lt;=Inputs!$C$24),AND(Inputs!$G$15=2,C91&gt;=Inputs!$G$16))</f>
        <v>0</v>
      </c>
      <c r="AA91" s="61" t="b">
        <f aca="false">OR(AA90,Z91)</f>
        <v>0</v>
      </c>
      <c r="AB91" s="61" t="b">
        <f aca="false">AND(Z91,NOT(AA90),D91,O91&gt;0)</f>
        <v>0</v>
      </c>
      <c r="AC91" s="63" t="n">
        <f aca="false">IF(AND(Y91,NOT(E91),O91+P91&gt;0),O91/(O91+P91),1)</f>
        <v>1</v>
      </c>
      <c r="AD91" s="64" t="n">
        <f aca="false">IF(AB91,O91,IF(D91,MIN(O91,IF(E91,AC91*X91+BF90,BE91*Inputs!$G$20)),0))</f>
        <v>0</v>
      </c>
      <c r="AE91" s="64" t="n">
        <f aca="false">IF(AB91,P91,IF(D91,MAX(MIN(P91,X91-MIN(O91,AC91*X91)),0),0))</f>
        <v>0</v>
      </c>
      <c r="AF91" s="64" t="n">
        <f aca="false">IF(OR(AB91,E91),0,MAX(H91-I91-K91-L91,0))</f>
        <v>0</v>
      </c>
      <c r="AG91" s="64" t="n">
        <f aca="false">IF(E91,0,O91-AD91)</f>
        <v>0</v>
      </c>
      <c r="AH91" s="64" t="n">
        <f aca="false">IF(OR(AB91,E91),0,P91-AE91)</f>
        <v>256983.980657201</v>
      </c>
      <c r="AI91" s="64" t="n">
        <f aca="false">IF(D91,R91+AD91,0)</f>
        <v>0</v>
      </c>
      <c r="AJ91" s="65" t="n">
        <f aca="false">(C91-Inputs!$G$6)/365</f>
        <v>20.1561643835616</v>
      </c>
      <c r="AK91" s="29" t="n">
        <f aca="false">AG91/Inputs!$C$10</f>
        <v>0</v>
      </c>
      <c r="AL91" s="5"/>
      <c r="AM91" s="66" t="n">
        <f aca="false">F91</f>
        <v>0.255555555555556</v>
      </c>
      <c r="AN91" s="5"/>
      <c r="AO91" s="5" t="n">
        <f aca="false">AO90+LN(1+($G91+AO$7)*$AM91)</f>
        <v>0.511731293097971</v>
      </c>
      <c r="AP91" s="5" t="n">
        <f aca="false">AP90+LN(1+($G91+AP$7)*$AM91)</f>
        <v>0.513761977481013</v>
      </c>
      <c r="AQ91" s="5" t="n">
        <f aca="false">AQ90+LN(1+($G91+AQ$7)*$AM91)</f>
        <v>0.57899011262203</v>
      </c>
      <c r="AR91" s="5" t="n">
        <f aca="false">AR90+LN(1+($G91+AR$7)*$AM91)</f>
        <v>0.581019107476775</v>
      </c>
      <c r="AS91" s="5" t="n">
        <f aca="false">AS90+LN(1+($G91+AS$7)*$AM91)</f>
        <v>0.57972765300249</v>
      </c>
      <c r="AT91" s="5" t="n">
        <f aca="false">AT90+LN(1+($G91+AT$7)*$AM91)</f>
        <v>0.581756629338182</v>
      </c>
      <c r="AU91" s="5" t="n">
        <f aca="false">AU90+LN(1+($G91+AU$7)*$AM91)</f>
        <v>0.579727495530603</v>
      </c>
      <c r="AV91" s="5" t="n">
        <f aca="false">AV90+LN(1+($G91+AV$7)*$AM91)</f>
        <v>0.581756471870247</v>
      </c>
      <c r="AW91" s="5" t="n">
        <f aca="false">AW90+LN(1+($G91+AW$7)*$AM91)</f>
        <v>0.579727495583415</v>
      </c>
      <c r="AX91" s="5" t="n">
        <f aca="false">AX90+LN(1+($G91+AX$7)*$AM91)</f>
        <v>0.581756471923063</v>
      </c>
      <c r="AY91" s="5" t="n">
        <f aca="false">AY90+LN(1+($G91+AY$7)*$AM91)</f>
        <v>0.579727495583405</v>
      </c>
      <c r="AZ91" s="5" t="n">
        <f aca="false">AZ90+LN(1+($G91+AZ$7)*$AM91)</f>
        <v>0.581756471923045</v>
      </c>
      <c r="BA91" s="5" t="n">
        <f aca="false">BA90+LN(1+($G91+BA$7)*$AM91)</f>
        <v>0.579727495583405</v>
      </c>
      <c r="BB91" s="5" t="n">
        <f aca="false">BB90+LN(1+($G91+BB$7)*$AM91)</f>
        <v>0.581756471923045</v>
      </c>
      <c r="BC91" s="5" t="n">
        <f aca="false">BC90+LN(1+($G91+BC$7)*$AM91)</f>
        <v>0.579727495583405</v>
      </c>
      <c r="BD91" s="5" t="n">
        <f aca="false">BD90+LN(1+($G91+BD$7)*$AM91)</f>
        <v>0.581756471923045</v>
      </c>
      <c r="BE91" s="5" t="n">
        <f aca="false">IF(AB91,O91,IF(D91,MIN(O91,AC91*X91+BF90),0))</f>
        <v>0</v>
      </c>
      <c r="BF91" s="5" t="n">
        <f aca="false">IF(OR(AB91,E91),0,BE91-AD91)</f>
        <v>0</v>
      </c>
      <c r="BG91" s="5" t="n">
        <f aca="false">BG90+LN(1+($G91+BG$7)*$AM91)</f>
        <v>0.559434929642326</v>
      </c>
      <c r="BH91" s="5"/>
      <c r="BI91" s="5" t="n">
        <f aca="false">BI90+LN(1+($G91+BI$7)*$AM91)</f>
        <v>0.600014966757489</v>
      </c>
      <c r="BJ91" s="5"/>
      <c r="BK91" s="62" t="n">
        <f aca="false">C91</f>
        <v>53646</v>
      </c>
      <c r="BL91" s="67" t="n">
        <f aca="false">AI91</f>
        <v>0</v>
      </c>
    </row>
    <row r="92" customFormat="false" ht="15" hidden="false" customHeight="true" outlineLevel="0" collapsed="false">
      <c r="A92" s="3" t="n">
        <v>82</v>
      </c>
      <c r="B92" s="38" t="n">
        <f aca="false">EDATE(Inputs!$C$8,3*(A92-1))</f>
        <v>53738</v>
      </c>
      <c r="C92" s="38" t="n">
        <f aca="false">WORKDAY(B92-1,1)</f>
        <v>53738</v>
      </c>
      <c r="D92" s="61" t="b">
        <f aca="false">C92&lt;=Inputs!$C$9</f>
        <v>1</v>
      </c>
      <c r="E92" s="61" t="b">
        <f aca="false">AND(D92,NOT(D93))</f>
        <v>0</v>
      </c>
      <c r="F92" s="63" t="n">
        <f aca="false">(C92-C91)/360</f>
        <v>0.255555555555556</v>
      </c>
      <c r="G92" s="57" t="n">
        <f aca="false">Curve!D85</f>
        <v>0.02252</v>
      </c>
      <c r="H92" s="64" t="n">
        <f aca="false">AF91</f>
        <v>0</v>
      </c>
      <c r="I92" s="64" t="n">
        <f aca="false">IF(D92,H92*Inputs!$G$22,0)</f>
        <v>0</v>
      </c>
      <c r="J92" s="32" t="n">
        <f aca="false">MAX(Inputs!$G$24-(A92-1),1)</f>
        <v>1</v>
      </c>
      <c r="K92" s="64" t="n">
        <f aca="false">IF(D92,MIN(H92-I92,IF(J92&gt;1,(H92-I92)*Inputs!$G$23/((1+Inputs!$G$23)^J92-1),H92-I92)),0)</f>
        <v>0</v>
      </c>
      <c r="L92" s="64" t="n">
        <f aca="false">IF(D92,(H92-I92-K92)*Inputs!$G$21,0)</f>
        <v>0</v>
      </c>
      <c r="M92" s="64" t="n">
        <f aca="false">IF(A92&gt;Inputs!$G$13,(1-Inputs!$G$12)*INDEX($I$11:$I$190,A92-Inputs!$G$13),0)</f>
        <v>0</v>
      </c>
      <c r="N92" s="64" t="n">
        <f aca="false">IF(D92,(H92-I92)*Inputs!$G$23,0)</f>
        <v>0</v>
      </c>
      <c r="O92" s="64" t="n">
        <f aca="false">AG91</f>
        <v>0</v>
      </c>
      <c r="P92" s="64" t="n">
        <f aca="false">AH91</f>
        <v>256983.980657201</v>
      </c>
      <c r="Q92" s="64" t="n">
        <f aca="false">IF(AND(D92,O92+P92&gt;0),Inputs!$C$25+Inputs!$C$26*H92/4,0)</f>
        <v>100000</v>
      </c>
      <c r="R92" s="64" t="n">
        <f aca="false">O92*IF(Inputs!$G$19="",G92+Inputs!$C$13,MAX(Inputs!$G$19,G92+Inputs!$C$13))*F92</f>
        <v>0</v>
      </c>
      <c r="S92" s="64" t="n">
        <f aca="false">P92*(G92+Inputs!$C$14)*F92</f>
        <v>1942.79889376844</v>
      </c>
      <c r="T92" s="64" t="n">
        <f aca="false">N92+M92-Q92-R92-S92</f>
        <v>-101942.798893768</v>
      </c>
      <c r="U92" s="64" t="n">
        <f aca="false">W91</f>
        <v>260422.420657149</v>
      </c>
      <c r="V92" s="64" t="n">
        <f aca="false">MIN(U92+I92,MAX(T92,0))</f>
        <v>0</v>
      </c>
      <c r="W92" s="64" t="n">
        <f aca="false">U92+I92-V92</f>
        <v>260422.420657149</v>
      </c>
      <c r="X92" s="64" t="n">
        <f aca="false">K92+L92+V92+IF(E92,H92-I92-K92-L92,0)</f>
        <v>0</v>
      </c>
      <c r="Y92" s="61" t="b">
        <f aca="false">AND(Inputs!$C$21=1,O92/Inputs!$C$10&lt;=Inputs!$C$22,Inputs!$G$14&lt;Inputs!$C$23,W92&lt;1)</f>
        <v>0</v>
      </c>
      <c r="Z92" s="61" t="b">
        <f aca="false">OR(AND(Inputs!$G$15=1,H92/Inputs!$C$17&lt;=Inputs!$C$24),AND(Inputs!$G$15=2,C92&gt;=Inputs!$G$16))</f>
        <v>0</v>
      </c>
      <c r="AA92" s="61" t="b">
        <f aca="false">OR(AA91,Z92)</f>
        <v>0</v>
      </c>
      <c r="AB92" s="61" t="b">
        <f aca="false">AND(Z92,NOT(AA91),D92,O92&gt;0)</f>
        <v>0</v>
      </c>
      <c r="AC92" s="63" t="n">
        <f aca="false">IF(AND(Y92,NOT(E92),O92+P92&gt;0),O92/(O92+P92),1)</f>
        <v>1</v>
      </c>
      <c r="AD92" s="64" t="n">
        <f aca="false">IF(AB92,O92,IF(D92,MIN(O92,IF(E92,AC92*X92+BF91,BE92*Inputs!$G$20)),0))</f>
        <v>0</v>
      </c>
      <c r="AE92" s="64" t="n">
        <f aca="false">IF(AB92,P92,IF(D92,MAX(MIN(P92,X92-MIN(O92,AC92*X92)),0),0))</f>
        <v>0</v>
      </c>
      <c r="AF92" s="64" t="n">
        <f aca="false">IF(OR(AB92,E92),0,MAX(H92-I92-K92-L92,0))</f>
        <v>0</v>
      </c>
      <c r="AG92" s="64" t="n">
        <f aca="false">IF(E92,0,O92-AD92)</f>
        <v>0</v>
      </c>
      <c r="AH92" s="64" t="n">
        <f aca="false">IF(OR(AB92,E92),0,P92-AE92)</f>
        <v>256983.980657201</v>
      </c>
      <c r="AI92" s="64" t="n">
        <f aca="false">IF(D92,R92+AD92,0)</f>
        <v>0</v>
      </c>
      <c r="AJ92" s="65" t="n">
        <f aca="false">(C92-Inputs!$G$6)/365</f>
        <v>20.4082191780822</v>
      </c>
      <c r="AK92" s="29" t="n">
        <f aca="false">AG92/Inputs!$C$10</f>
        <v>0</v>
      </c>
      <c r="AL92" s="5"/>
      <c r="AM92" s="66" t="n">
        <f aca="false">F92</f>
        <v>0.255555555555556</v>
      </c>
      <c r="AN92" s="5"/>
      <c r="AO92" s="5" t="n">
        <f aca="false">AO91+LN(1+($G92+AO$7)*$AM92)</f>
        <v>0.518130331069128</v>
      </c>
      <c r="AP92" s="5" t="n">
        <f aca="false">AP91+LN(1+($G92+AP$7)*$AM92)</f>
        <v>0.520186407676477</v>
      </c>
      <c r="AQ92" s="5" t="n">
        <f aca="false">AQ91+LN(1+($G92+AQ$7)*$AM92)</f>
        <v>0.586230169449511</v>
      </c>
      <c r="AR92" s="5" t="n">
        <f aca="false">AR91+LN(1+($G92+AR$7)*$AM92)</f>
        <v>0.588284535182471</v>
      </c>
      <c r="AS92" s="5" t="n">
        <f aca="false">AS91+LN(1+($G92+AS$7)*$AM92)</f>
        <v>0.586976932154357</v>
      </c>
      <c r="AT92" s="5" t="n">
        <f aca="false">AT91+LN(1+($G92+AT$7)*$AM92)</f>
        <v>0.589031279134289</v>
      </c>
      <c r="AU92" s="5" t="n">
        <f aca="false">AU91+LN(1+($G92+AU$7)*$AM92)</f>
        <v>0.586976772713416</v>
      </c>
      <c r="AV92" s="5" t="n">
        <f aca="false">AV91+LN(1+($G92+AV$7)*$AM92)</f>
        <v>0.58903111969735</v>
      </c>
      <c r="AW92" s="5" t="n">
        <f aca="false">AW91+LN(1+($G92+AW$7)*$AM92)</f>
        <v>0.586976772766887</v>
      </c>
      <c r="AX92" s="5" t="n">
        <f aca="false">AX91+LN(1+($G92+AX$7)*$AM92)</f>
        <v>0.589031119750826</v>
      </c>
      <c r="AY92" s="5" t="n">
        <f aca="false">AY91+LN(1+($G92+AY$7)*$AM92)</f>
        <v>0.586976772766878</v>
      </c>
      <c r="AZ92" s="5" t="n">
        <f aca="false">AZ91+LN(1+($G92+AZ$7)*$AM92)</f>
        <v>0.589031119750808</v>
      </c>
      <c r="BA92" s="5" t="n">
        <f aca="false">BA91+LN(1+($G92+BA$7)*$AM92)</f>
        <v>0.586976772766878</v>
      </c>
      <c r="BB92" s="5" t="n">
        <f aca="false">BB91+LN(1+($G92+BB$7)*$AM92)</f>
        <v>0.589031119750808</v>
      </c>
      <c r="BC92" s="5" t="n">
        <f aca="false">BC91+LN(1+($G92+BC$7)*$AM92)</f>
        <v>0.586976772766878</v>
      </c>
      <c r="BD92" s="5" t="n">
        <f aca="false">BD91+LN(1+($G92+BD$7)*$AM92)</f>
        <v>0.589031119750808</v>
      </c>
      <c r="BE92" s="5" t="n">
        <f aca="false">IF(AB92,O92,IF(D92,MIN(O92,AC92*X92+BF91),0))</f>
        <v>0</v>
      </c>
      <c r="BF92" s="5" t="n">
        <f aca="false">IF(OR(AB92,E92),0,BE92-AD92)</f>
        <v>0</v>
      </c>
      <c r="BG92" s="5" t="n">
        <f aca="false">BG91+LN(1+($G92+BG$7)*$AM92)</f>
        <v>0.566430464974777</v>
      </c>
      <c r="BH92" s="5"/>
      <c r="BI92" s="5" t="n">
        <f aca="false">BI91+LN(1+($G92+BI$7)*$AM92)</f>
        <v>0.607517921423389</v>
      </c>
      <c r="BJ92" s="5"/>
      <c r="BK92" s="62" t="n">
        <f aca="false">C92</f>
        <v>53738</v>
      </c>
      <c r="BL92" s="67" t="n">
        <f aca="false">AI92</f>
        <v>0</v>
      </c>
    </row>
    <row r="93" customFormat="false" ht="15" hidden="false" customHeight="true" outlineLevel="0" collapsed="false">
      <c r="A93" s="3" t="n">
        <v>83</v>
      </c>
      <c r="B93" s="38" t="n">
        <f aca="false">EDATE(Inputs!$C$8,3*(A93-1))</f>
        <v>53827</v>
      </c>
      <c r="C93" s="38" t="n">
        <f aca="false">WORKDAY(B93-1,1)</f>
        <v>53827</v>
      </c>
      <c r="D93" s="61" t="b">
        <f aca="false">C93&lt;=Inputs!$C$9</f>
        <v>1</v>
      </c>
      <c r="E93" s="61" t="b">
        <f aca="false">AND(D93,NOT(D94))</f>
        <v>0</v>
      </c>
      <c r="F93" s="63" t="n">
        <f aca="false">(C93-C92)/360</f>
        <v>0.247222222222222</v>
      </c>
      <c r="G93" s="57" t="n">
        <f aca="false">Curve!D86</f>
        <v>0.02252</v>
      </c>
      <c r="H93" s="64" t="n">
        <f aca="false">AF92</f>
        <v>0</v>
      </c>
      <c r="I93" s="64" t="n">
        <f aca="false">IF(D93,H93*Inputs!$G$22,0)</f>
        <v>0</v>
      </c>
      <c r="J93" s="32" t="n">
        <f aca="false">MAX(Inputs!$G$24-(A93-1),1)</f>
        <v>1</v>
      </c>
      <c r="K93" s="64" t="n">
        <f aca="false">IF(D93,MIN(H93-I93,IF(J93&gt;1,(H93-I93)*Inputs!$G$23/((1+Inputs!$G$23)^J93-1),H93-I93)),0)</f>
        <v>0</v>
      </c>
      <c r="L93" s="64" t="n">
        <f aca="false">IF(D93,(H93-I93-K93)*Inputs!$G$21,0)</f>
        <v>0</v>
      </c>
      <c r="M93" s="64" t="n">
        <f aca="false">IF(A93&gt;Inputs!$G$13,(1-Inputs!$G$12)*INDEX($I$11:$I$190,A93-Inputs!$G$13),0)</f>
        <v>0</v>
      </c>
      <c r="N93" s="64" t="n">
        <f aca="false">IF(D93,(H93-I93)*Inputs!$G$23,0)</f>
        <v>0</v>
      </c>
      <c r="O93" s="64" t="n">
        <f aca="false">AG92</f>
        <v>0</v>
      </c>
      <c r="P93" s="64" t="n">
        <f aca="false">AH92</f>
        <v>256983.980657201</v>
      </c>
      <c r="Q93" s="64" t="n">
        <f aca="false">IF(AND(D93,O93+P93&gt;0),Inputs!$C$25+Inputs!$C$26*H93/4,0)</f>
        <v>100000</v>
      </c>
      <c r="R93" s="64" t="n">
        <f aca="false">O93*IF(Inputs!$G$19="",G93+Inputs!$C$13,MAX(Inputs!$G$19,G93+Inputs!$C$13))*F93</f>
        <v>0</v>
      </c>
      <c r="S93" s="64" t="n">
        <f aca="false">P93*(G93+Inputs!$C$14)*F93</f>
        <v>1879.44675592817</v>
      </c>
      <c r="T93" s="64" t="n">
        <f aca="false">N93+M93-Q93-R93-S93</f>
        <v>-101879.446755928</v>
      </c>
      <c r="U93" s="64" t="n">
        <f aca="false">W92</f>
        <v>260422.420657149</v>
      </c>
      <c r="V93" s="64" t="n">
        <f aca="false">MIN(U93+I93,MAX(T93,0))</f>
        <v>0</v>
      </c>
      <c r="W93" s="64" t="n">
        <f aca="false">U93+I93-V93</f>
        <v>260422.420657149</v>
      </c>
      <c r="X93" s="64" t="n">
        <f aca="false">K93+L93+V93+IF(E93,H93-I93-K93-L93,0)</f>
        <v>0</v>
      </c>
      <c r="Y93" s="61" t="b">
        <f aca="false">AND(Inputs!$C$21=1,O93/Inputs!$C$10&lt;=Inputs!$C$22,Inputs!$G$14&lt;Inputs!$C$23,W93&lt;1)</f>
        <v>0</v>
      </c>
      <c r="Z93" s="61" t="b">
        <f aca="false">OR(AND(Inputs!$G$15=1,H93/Inputs!$C$17&lt;=Inputs!$C$24),AND(Inputs!$G$15=2,C93&gt;=Inputs!$G$16))</f>
        <v>0</v>
      </c>
      <c r="AA93" s="61" t="b">
        <f aca="false">OR(AA92,Z93)</f>
        <v>0</v>
      </c>
      <c r="AB93" s="61" t="b">
        <f aca="false">AND(Z93,NOT(AA92),D93,O93&gt;0)</f>
        <v>0</v>
      </c>
      <c r="AC93" s="63" t="n">
        <f aca="false">IF(AND(Y93,NOT(E93),O93+P93&gt;0),O93/(O93+P93),1)</f>
        <v>1</v>
      </c>
      <c r="AD93" s="64" t="n">
        <f aca="false">IF(AB93,O93,IF(D93,MIN(O93,IF(E93,AC93*X93+BF92,BE93*Inputs!$G$20)),0))</f>
        <v>0</v>
      </c>
      <c r="AE93" s="64" t="n">
        <f aca="false">IF(AB93,P93,IF(D93,MAX(MIN(P93,X93-MIN(O93,AC93*X93)),0),0))</f>
        <v>0</v>
      </c>
      <c r="AF93" s="64" t="n">
        <f aca="false">IF(OR(AB93,E93),0,MAX(H93-I93-K93-L93,0))</f>
        <v>0</v>
      </c>
      <c r="AG93" s="64" t="n">
        <f aca="false">IF(E93,0,O93-AD93)</f>
        <v>0</v>
      </c>
      <c r="AH93" s="64" t="n">
        <f aca="false">IF(OR(AB93,E93),0,P93-AE93)</f>
        <v>256983.980657201</v>
      </c>
      <c r="AI93" s="64" t="n">
        <f aca="false">IF(D93,R93+AD93,0)</f>
        <v>0</v>
      </c>
      <c r="AJ93" s="65" t="n">
        <f aca="false">(C93-Inputs!$G$6)/365</f>
        <v>20.6520547945206</v>
      </c>
      <c r="AK93" s="29" t="n">
        <f aca="false">AG93/Inputs!$C$10</f>
        <v>0</v>
      </c>
      <c r="AL93" s="5"/>
      <c r="AM93" s="66" t="n">
        <f aca="false">F93</f>
        <v>0.247222222222222</v>
      </c>
      <c r="AN93" s="5"/>
      <c r="AO93" s="5" t="n">
        <f aca="false">AO92+LN(1+($G93+AO$7)*$AM93)</f>
        <v>0.52432134932757</v>
      </c>
      <c r="AP93" s="5" t="n">
        <f aca="false">AP92+LN(1+($G93+AP$7)*$AM93)</f>
        <v>0.526401995272392</v>
      </c>
      <c r="AQ93" s="5" t="n">
        <f aca="false">AQ92+LN(1+($G93+AQ$7)*$AM93)</f>
        <v>0.593234962384379</v>
      </c>
      <c r="AR93" s="5" t="n">
        <f aca="false">AR92+LN(1+($G93+AR$7)*$AM93)</f>
        <v>0.595313877469287</v>
      </c>
      <c r="AS93" s="5" t="n">
        <f aca="false">AS92+LN(1+($G93+AS$7)*$AM93)</f>
        <v>0.593990648786151</v>
      </c>
      <c r="AT93" s="5" t="n">
        <f aca="false">AT92+LN(1+($G93+AT$7)*$AM93)</f>
        <v>0.596069544898963</v>
      </c>
      <c r="AU93" s="5" t="n">
        <f aca="false">AU92+LN(1+($G93+AU$7)*$AM93)</f>
        <v>0.593990487439916</v>
      </c>
      <c r="AV93" s="5" t="n">
        <f aca="false">AV92+LN(1+($G93+AV$7)*$AM93)</f>
        <v>0.596069383556777</v>
      </c>
      <c r="AW93" s="5" t="n">
        <f aca="false">AW92+LN(1+($G93+AW$7)*$AM93)</f>
        <v>0.593990487494027</v>
      </c>
      <c r="AX93" s="5" t="n">
        <f aca="false">AX92+LN(1+($G93+AX$7)*$AM93)</f>
        <v>0.596069383610892</v>
      </c>
      <c r="AY93" s="5" t="n">
        <f aca="false">AY92+LN(1+($G93+AY$7)*$AM93)</f>
        <v>0.593990487494016</v>
      </c>
      <c r="AZ93" s="5" t="n">
        <f aca="false">AZ92+LN(1+($G93+AZ$7)*$AM93)</f>
        <v>0.596069383610873</v>
      </c>
      <c r="BA93" s="5" t="n">
        <f aca="false">BA92+LN(1+($G93+BA$7)*$AM93)</f>
        <v>0.593990487494016</v>
      </c>
      <c r="BB93" s="5" t="n">
        <f aca="false">BB92+LN(1+($G93+BB$7)*$AM93)</f>
        <v>0.596069383610873</v>
      </c>
      <c r="BC93" s="5" t="n">
        <f aca="false">BC92+LN(1+($G93+BC$7)*$AM93)</f>
        <v>0.593990487494016</v>
      </c>
      <c r="BD93" s="5" t="n">
        <f aca="false">BD92+LN(1+($G93+BD$7)*$AM93)</f>
        <v>0.596069383610873</v>
      </c>
      <c r="BE93" s="5" t="n">
        <f aca="false">IF(AB93,O93,IF(D93,MIN(O93,AC93*X93+BF92),0))</f>
        <v>0</v>
      </c>
      <c r="BF93" s="5" t="n">
        <f aca="false">IF(OR(AB93,E93),0,BE93-AD93)</f>
        <v>0</v>
      </c>
      <c r="BG93" s="5" t="n">
        <f aca="false">BG92+LN(1+($G93+BG$7)*$AM93)</f>
        <v>0.573198655220655</v>
      </c>
      <c r="BH93" s="5"/>
      <c r="BI93" s="5" t="n">
        <f aca="false">BI92+LN(1+($G93+BI$7)*$AM93)</f>
        <v>0.614777100364314</v>
      </c>
      <c r="BJ93" s="5"/>
      <c r="BK93" s="62" t="n">
        <f aca="false">C93</f>
        <v>53827</v>
      </c>
      <c r="BL93" s="67" t="n">
        <f aca="false">AI93</f>
        <v>0</v>
      </c>
    </row>
    <row r="94" customFormat="false" ht="15" hidden="false" customHeight="true" outlineLevel="0" collapsed="false">
      <c r="A94" s="3" t="n">
        <v>84</v>
      </c>
      <c r="B94" s="38" t="n">
        <f aca="false">EDATE(Inputs!$C$8,3*(A94-1))</f>
        <v>53919</v>
      </c>
      <c r="C94" s="38" t="n">
        <f aca="false">WORKDAY(B94-1,1)</f>
        <v>53919</v>
      </c>
      <c r="D94" s="61" t="b">
        <f aca="false">C94&lt;=Inputs!$C$9</f>
        <v>1</v>
      </c>
      <c r="E94" s="61" t="b">
        <f aca="false">AND(D94,NOT(D95))</f>
        <v>0</v>
      </c>
      <c r="F94" s="63" t="n">
        <f aca="false">(C94-C93)/360</f>
        <v>0.255555555555556</v>
      </c>
      <c r="G94" s="57" t="n">
        <f aca="false">Curve!D87</f>
        <v>0.02252</v>
      </c>
      <c r="H94" s="64" t="n">
        <f aca="false">AF93</f>
        <v>0</v>
      </c>
      <c r="I94" s="64" t="n">
        <f aca="false">IF(D94,H94*Inputs!$G$22,0)</f>
        <v>0</v>
      </c>
      <c r="J94" s="32" t="n">
        <f aca="false">MAX(Inputs!$G$24-(A94-1),1)</f>
        <v>1</v>
      </c>
      <c r="K94" s="64" t="n">
        <f aca="false">IF(D94,MIN(H94-I94,IF(J94&gt;1,(H94-I94)*Inputs!$G$23/((1+Inputs!$G$23)^J94-1),H94-I94)),0)</f>
        <v>0</v>
      </c>
      <c r="L94" s="64" t="n">
        <f aca="false">IF(D94,(H94-I94-K94)*Inputs!$G$21,0)</f>
        <v>0</v>
      </c>
      <c r="M94" s="64" t="n">
        <f aca="false">IF(A94&gt;Inputs!$G$13,(1-Inputs!$G$12)*INDEX($I$11:$I$190,A94-Inputs!$G$13),0)</f>
        <v>0</v>
      </c>
      <c r="N94" s="64" t="n">
        <f aca="false">IF(D94,(H94-I94)*Inputs!$G$23,0)</f>
        <v>0</v>
      </c>
      <c r="O94" s="64" t="n">
        <f aca="false">AG93</f>
        <v>0</v>
      </c>
      <c r="P94" s="64" t="n">
        <f aca="false">AH93</f>
        <v>256983.980657201</v>
      </c>
      <c r="Q94" s="64" t="n">
        <f aca="false">IF(AND(D94,O94+P94&gt;0),Inputs!$C$25+Inputs!$C$26*H94/4,0)</f>
        <v>100000</v>
      </c>
      <c r="R94" s="64" t="n">
        <f aca="false">O94*IF(Inputs!$G$19="",G94+Inputs!$C$13,MAX(Inputs!$G$19,G94+Inputs!$C$13))*F94</f>
        <v>0</v>
      </c>
      <c r="S94" s="64" t="n">
        <f aca="false">P94*(G94+Inputs!$C$14)*F94</f>
        <v>1942.79889376844</v>
      </c>
      <c r="T94" s="64" t="n">
        <f aca="false">N94+M94-Q94-R94-S94</f>
        <v>-101942.798893768</v>
      </c>
      <c r="U94" s="64" t="n">
        <f aca="false">W93</f>
        <v>260422.420657149</v>
      </c>
      <c r="V94" s="64" t="n">
        <f aca="false">MIN(U94+I94,MAX(T94,0))</f>
        <v>0</v>
      </c>
      <c r="W94" s="64" t="n">
        <f aca="false">U94+I94-V94</f>
        <v>260422.420657149</v>
      </c>
      <c r="X94" s="64" t="n">
        <f aca="false">K94+L94+V94+IF(E94,H94-I94-K94-L94,0)</f>
        <v>0</v>
      </c>
      <c r="Y94" s="61" t="b">
        <f aca="false">AND(Inputs!$C$21=1,O94/Inputs!$C$10&lt;=Inputs!$C$22,Inputs!$G$14&lt;Inputs!$C$23,W94&lt;1)</f>
        <v>0</v>
      </c>
      <c r="Z94" s="61" t="b">
        <f aca="false">OR(AND(Inputs!$G$15=1,H94/Inputs!$C$17&lt;=Inputs!$C$24),AND(Inputs!$G$15=2,C94&gt;=Inputs!$G$16))</f>
        <v>0</v>
      </c>
      <c r="AA94" s="61" t="b">
        <f aca="false">OR(AA93,Z94)</f>
        <v>0</v>
      </c>
      <c r="AB94" s="61" t="b">
        <f aca="false">AND(Z94,NOT(AA93),D94,O94&gt;0)</f>
        <v>0</v>
      </c>
      <c r="AC94" s="63" t="n">
        <f aca="false">IF(AND(Y94,NOT(E94),O94+P94&gt;0),O94/(O94+P94),1)</f>
        <v>1</v>
      </c>
      <c r="AD94" s="64" t="n">
        <f aca="false">IF(AB94,O94,IF(D94,MIN(O94,IF(E94,AC94*X94+BF93,BE94*Inputs!$G$20)),0))</f>
        <v>0</v>
      </c>
      <c r="AE94" s="64" t="n">
        <f aca="false">IF(AB94,P94,IF(D94,MAX(MIN(P94,X94-MIN(O94,AC94*X94)),0),0))</f>
        <v>0</v>
      </c>
      <c r="AF94" s="64" t="n">
        <f aca="false">IF(OR(AB94,E94),0,MAX(H94-I94-K94-L94,0))</f>
        <v>0</v>
      </c>
      <c r="AG94" s="64" t="n">
        <f aca="false">IF(E94,0,O94-AD94)</f>
        <v>0</v>
      </c>
      <c r="AH94" s="64" t="n">
        <f aca="false">IF(OR(AB94,E94),0,P94-AE94)</f>
        <v>256983.980657201</v>
      </c>
      <c r="AI94" s="64" t="n">
        <f aca="false">IF(D94,R94+AD94,0)</f>
        <v>0</v>
      </c>
      <c r="AJ94" s="65" t="n">
        <f aca="false">(C94-Inputs!$G$6)/365</f>
        <v>20.9041095890411</v>
      </c>
      <c r="AK94" s="29" t="n">
        <f aca="false">AG94/Inputs!$C$10</f>
        <v>0</v>
      </c>
      <c r="AL94" s="5"/>
      <c r="AM94" s="66" t="n">
        <f aca="false">F94</f>
        <v>0.255555555555556</v>
      </c>
      <c r="AN94" s="5"/>
      <c r="AO94" s="5" t="n">
        <f aca="false">AO93+LN(1+($G94+AO$7)*$AM94)</f>
        <v>0.530720387298728</v>
      </c>
      <c r="AP94" s="5" t="n">
        <f aca="false">AP93+LN(1+($G94+AP$7)*$AM94)</f>
        <v>0.532826425467856</v>
      </c>
      <c r="AQ94" s="5" t="n">
        <f aca="false">AQ93+LN(1+($G94+AQ$7)*$AM94)</f>
        <v>0.60047501921186</v>
      </c>
      <c r="AR94" s="5" t="n">
        <f aca="false">AR93+LN(1+($G94+AR$7)*$AM94)</f>
        <v>0.602579305174983</v>
      </c>
      <c r="AS94" s="5" t="n">
        <f aca="false">AS93+LN(1+($G94+AS$7)*$AM94)</f>
        <v>0.601239927938017</v>
      </c>
      <c r="AT94" s="5" t="n">
        <f aca="false">AT93+LN(1+($G94+AT$7)*$AM94)</f>
        <v>0.60334419469507</v>
      </c>
      <c r="AU94" s="5" t="n">
        <f aca="false">AU93+LN(1+($G94+AU$7)*$AM94)</f>
        <v>0.601239764622728</v>
      </c>
      <c r="AV94" s="5" t="n">
        <f aca="false">AV93+LN(1+($G94+AV$7)*$AM94)</f>
        <v>0.60334403138388</v>
      </c>
      <c r="AW94" s="5" t="n">
        <f aca="false">AW93+LN(1+($G94+AW$7)*$AM94)</f>
        <v>0.601239764677499</v>
      </c>
      <c r="AX94" s="5" t="n">
        <f aca="false">AX93+LN(1+($G94+AX$7)*$AM94)</f>
        <v>0.603344031438655</v>
      </c>
      <c r="AY94" s="5" t="n">
        <f aca="false">AY93+LN(1+($G94+AY$7)*$AM94)</f>
        <v>0.601239764677489</v>
      </c>
      <c r="AZ94" s="5" t="n">
        <f aca="false">AZ93+LN(1+($G94+AZ$7)*$AM94)</f>
        <v>0.603344031438636</v>
      </c>
      <c r="BA94" s="5" t="n">
        <f aca="false">BA93+LN(1+($G94+BA$7)*$AM94)</f>
        <v>0.601239764677489</v>
      </c>
      <c r="BB94" s="5" t="n">
        <f aca="false">BB93+LN(1+($G94+BB$7)*$AM94)</f>
        <v>0.603344031438636</v>
      </c>
      <c r="BC94" s="5" t="n">
        <f aca="false">BC93+LN(1+($G94+BC$7)*$AM94)</f>
        <v>0.601239764677489</v>
      </c>
      <c r="BD94" s="5" t="n">
        <f aca="false">BD93+LN(1+($G94+BD$7)*$AM94)</f>
        <v>0.603344031438636</v>
      </c>
      <c r="BE94" s="5" t="n">
        <f aca="false">IF(AB94,O94,IF(D94,MIN(O94,AC94*X94+BF93),0))</f>
        <v>0</v>
      </c>
      <c r="BF94" s="5" t="n">
        <f aca="false">IF(OR(AB94,E94),0,BE94-AD94)</f>
        <v>0</v>
      </c>
      <c r="BG94" s="5" t="n">
        <f aca="false">BG93+LN(1+($G94+BG$7)*$AM94)</f>
        <v>0.580194190553106</v>
      </c>
      <c r="BH94" s="5"/>
      <c r="BI94" s="5" t="n">
        <f aca="false">BI93+LN(1+($G94+BI$7)*$AM94)</f>
        <v>0.622280055030214</v>
      </c>
      <c r="BJ94" s="5"/>
      <c r="BK94" s="62" t="n">
        <f aca="false">C94</f>
        <v>53919</v>
      </c>
      <c r="BL94" s="67" t="n">
        <f aca="false">AI94</f>
        <v>0</v>
      </c>
    </row>
    <row r="95" customFormat="false" ht="15" hidden="false" customHeight="true" outlineLevel="0" collapsed="false">
      <c r="A95" s="3" t="n">
        <v>85</v>
      </c>
      <c r="B95" s="38" t="n">
        <f aca="false">EDATE(Inputs!$C$8,3*(A95-1))</f>
        <v>54011</v>
      </c>
      <c r="C95" s="38" t="n">
        <f aca="false">WORKDAY(B95-1,1)</f>
        <v>54011</v>
      </c>
      <c r="D95" s="61" t="b">
        <f aca="false">C95&lt;=Inputs!$C$9</f>
        <v>1</v>
      </c>
      <c r="E95" s="61" t="b">
        <f aca="false">AND(D95,NOT(D96))</f>
        <v>0</v>
      </c>
      <c r="F95" s="63" t="n">
        <f aca="false">(C95-C94)/360</f>
        <v>0.255555555555556</v>
      </c>
      <c r="G95" s="57" t="n">
        <f aca="false">Curve!D88</f>
        <v>0.02252</v>
      </c>
      <c r="H95" s="64" t="n">
        <f aca="false">AF94</f>
        <v>0</v>
      </c>
      <c r="I95" s="64" t="n">
        <f aca="false">IF(D95,H95*Inputs!$G$22,0)</f>
        <v>0</v>
      </c>
      <c r="J95" s="32" t="n">
        <f aca="false">MAX(Inputs!$G$24-(A95-1),1)</f>
        <v>1</v>
      </c>
      <c r="K95" s="64" t="n">
        <f aca="false">IF(D95,MIN(H95-I95,IF(J95&gt;1,(H95-I95)*Inputs!$G$23/((1+Inputs!$G$23)^J95-1),H95-I95)),0)</f>
        <v>0</v>
      </c>
      <c r="L95" s="64" t="n">
        <f aca="false">IF(D95,(H95-I95-K95)*Inputs!$G$21,0)</f>
        <v>0</v>
      </c>
      <c r="M95" s="64" t="n">
        <f aca="false">IF(A95&gt;Inputs!$G$13,(1-Inputs!$G$12)*INDEX($I$11:$I$190,A95-Inputs!$G$13),0)</f>
        <v>0</v>
      </c>
      <c r="N95" s="64" t="n">
        <f aca="false">IF(D95,(H95-I95)*Inputs!$G$23,0)</f>
        <v>0</v>
      </c>
      <c r="O95" s="64" t="n">
        <f aca="false">AG94</f>
        <v>0</v>
      </c>
      <c r="P95" s="64" t="n">
        <f aca="false">AH94</f>
        <v>256983.980657201</v>
      </c>
      <c r="Q95" s="64" t="n">
        <f aca="false">IF(AND(D95,O95+P95&gt;0),Inputs!$C$25+Inputs!$C$26*H95/4,0)</f>
        <v>100000</v>
      </c>
      <c r="R95" s="64" t="n">
        <f aca="false">O95*IF(Inputs!$G$19="",G95+Inputs!$C$13,MAX(Inputs!$G$19,G95+Inputs!$C$13))*F95</f>
        <v>0</v>
      </c>
      <c r="S95" s="64" t="n">
        <f aca="false">P95*(G95+Inputs!$C$14)*F95</f>
        <v>1942.79889376844</v>
      </c>
      <c r="T95" s="64" t="n">
        <f aca="false">N95+M95-Q95-R95-S95</f>
        <v>-101942.798893768</v>
      </c>
      <c r="U95" s="64" t="n">
        <f aca="false">W94</f>
        <v>260422.420657149</v>
      </c>
      <c r="V95" s="64" t="n">
        <f aca="false">MIN(U95+I95,MAX(T95,0))</f>
        <v>0</v>
      </c>
      <c r="W95" s="64" t="n">
        <f aca="false">U95+I95-V95</f>
        <v>260422.420657149</v>
      </c>
      <c r="X95" s="64" t="n">
        <f aca="false">K95+L95+V95+IF(E95,H95-I95-K95-L95,0)</f>
        <v>0</v>
      </c>
      <c r="Y95" s="61" t="b">
        <f aca="false">AND(Inputs!$C$21=1,O95/Inputs!$C$10&lt;=Inputs!$C$22,Inputs!$G$14&lt;Inputs!$C$23,W95&lt;1)</f>
        <v>0</v>
      </c>
      <c r="Z95" s="61" t="b">
        <f aca="false">OR(AND(Inputs!$G$15=1,H95/Inputs!$C$17&lt;=Inputs!$C$24),AND(Inputs!$G$15=2,C95&gt;=Inputs!$G$16))</f>
        <v>0</v>
      </c>
      <c r="AA95" s="61" t="b">
        <f aca="false">OR(AA94,Z95)</f>
        <v>0</v>
      </c>
      <c r="AB95" s="61" t="b">
        <f aca="false">AND(Z95,NOT(AA94),D95,O95&gt;0)</f>
        <v>0</v>
      </c>
      <c r="AC95" s="63" t="n">
        <f aca="false">IF(AND(Y95,NOT(E95),O95+P95&gt;0),O95/(O95+P95),1)</f>
        <v>1</v>
      </c>
      <c r="AD95" s="64" t="n">
        <f aca="false">IF(AB95,O95,IF(D95,MIN(O95,IF(E95,AC95*X95+BF94,BE95*Inputs!$G$20)),0))</f>
        <v>0</v>
      </c>
      <c r="AE95" s="64" t="n">
        <f aca="false">IF(AB95,P95,IF(D95,MAX(MIN(P95,X95-MIN(O95,AC95*X95)),0),0))</f>
        <v>0</v>
      </c>
      <c r="AF95" s="64" t="n">
        <f aca="false">IF(OR(AB95,E95),0,MAX(H95-I95-K95-L95,0))</f>
        <v>0</v>
      </c>
      <c r="AG95" s="64" t="n">
        <f aca="false">IF(E95,0,O95-AD95)</f>
        <v>0</v>
      </c>
      <c r="AH95" s="64" t="n">
        <f aca="false">IF(OR(AB95,E95),0,P95-AE95)</f>
        <v>256983.980657201</v>
      </c>
      <c r="AI95" s="64" t="n">
        <f aca="false">IF(D95,R95+AD95,0)</f>
        <v>0</v>
      </c>
      <c r="AJ95" s="65" t="n">
        <f aca="false">(C95-Inputs!$G$6)/365</f>
        <v>21.1561643835616</v>
      </c>
      <c r="AK95" s="29" t="n">
        <f aca="false">AG95/Inputs!$C$10</f>
        <v>0</v>
      </c>
      <c r="AL95" s="5"/>
      <c r="AM95" s="66" t="n">
        <f aca="false">F95</f>
        <v>0.255555555555556</v>
      </c>
      <c r="AN95" s="5"/>
      <c r="AO95" s="5" t="n">
        <f aca="false">AO94+LN(1+($G95+AO$7)*$AM95)</f>
        <v>0.537119425269885</v>
      </c>
      <c r="AP95" s="5" t="n">
        <f aca="false">AP94+LN(1+($G95+AP$7)*$AM95)</f>
        <v>0.539250855663319</v>
      </c>
      <c r="AQ95" s="5" t="n">
        <f aca="false">AQ94+LN(1+($G95+AQ$7)*$AM95)</f>
        <v>0.607715076039341</v>
      </c>
      <c r="AR95" s="5" t="n">
        <f aca="false">AR94+LN(1+($G95+AR$7)*$AM95)</f>
        <v>0.609844732880679</v>
      </c>
      <c r="AS95" s="5" t="n">
        <f aca="false">AS94+LN(1+($G95+AS$7)*$AM95)</f>
        <v>0.608489207089884</v>
      </c>
      <c r="AT95" s="5" t="n">
        <f aca="false">AT94+LN(1+($G95+AT$7)*$AM95)</f>
        <v>0.610618844491177</v>
      </c>
      <c r="AU95" s="5" t="n">
        <f aca="false">AU94+LN(1+($G95+AU$7)*$AM95)</f>
        <v>0.608489041805541</v>
      </c>
      <c r="AV95" s="5" t="n">
        <f aca="false">AV94+LN(1+($G95+AV$7)*$AM95)</f>
        <v>0.610618679210983</v>
      </c>
      <c r="AW95" s="5" t="n">
        <f aca="false">AW94+LN(1+($G95+AW$7)*$AM95)</f>
        <v>0.608489041860972</v>
      </c>
      <c r="AX95" s="5" t="n">
        <f aca="false">AX94+LN(1+($G95+AX$7)*$AM95)</f>
        <v>0.610618679266418</v>
      </c>
      <c r="AY95" s="5" t="n">
        <f aca="false">AY94+LN(1+($G95+AY$7)*$AM95)</f>
        <v>0.608489041860962</v>
      </c>
      <c r="AZ95" s="5" t="n">
        <f aca="false">AZ94+LN(1+($G95+AZ$7)*$AM95)</f>
        <v>0.6106186792664</v>
      </c>
      <c r="BA95" s="5" t="n">
        <f aca="false">BA94+LN(1+($G95+BA$7)*$AM95)</f>
        <v>0.608489041860962</v>
      </c>
      <c r="BB95" s="5" t="n">
        <f aca="false">BB94+LN(1+($G95+BB$7)*$AM95)</f>
        <v>0.6106186792664</v>
      </c>
      <c r="BC95" s="5" t="n">
        <f aca="false">BC94+LN(1+($G95+BC$7)*$AM95)</f>
        <v>0.608489041860962</v>
      </c>
      <c r="BD95" s="5" t="n">
        <f aca="false">BD94+LN(1+($G95+BD$7)*$AM95)</f>
        <v>0.6106186792664</v>
      </c>
      <c r="BE95" s="5" t="n">
        <f aca="false">IF(AB95,O95,IF(D95,MIN(O95,AC95*X95+BF94),0))</f>
        <v>0</v>
      </c>
      <c r="BF95" s="5" t="n">
        <f aca="false">IF(OR(AB95,E95),0,BE95-AD95)</f>
        <v>0</v>
      </c>
      <c r="BG95" s="5" t="n">
        <f aca="false">BG94+LN(1+($G95+BG$7)*$AM95)</f>
        <v>0.587189725885557</v>
      </c>
      <c r="BH95" s="5"/>
      <c r="BI95" s="5" t="n">
        <f aca="false">BI94+LN(1+($G95+BI$7)*$AM95)</f>
        <v>0.629783009696114</v>
      </c>
      <c r="BJ95" s="5"/>
      <c r="BK95" s="62" t="n">
        <f aca="false">C95</f>
        <v>54011</v>
      </c>
      <c r="BL95" s="67" t="n">
        <f aca="false">AI95</f>
        <v>0</v>
      </c>
    </row>
    <row r="96" customFormat="false" ht="15" hidden="false" customHeight="true" outlineLevel="0" collapsed="false">
      <c r="A96" s="3" t="n">
        <v>86</v>
      </c>
      <c r="B96" s="38" t="n">
        <f aca="false">EDATE(Inputs!$C$8,3*(A96-1))</f>
        <v>54103</v>
      </c>
      <c r="C96" s="38" t="n">
        <f aca="false">WORKDAY(B96-1,1)</f>
        <v>54105</v>
      </c>
      <c r="D96" s="61" t="b">
        <f aca="false">C96&lt;=Inputs!$C$9</f>
        <v>1</v>
      </c>
      <c r="E96" s="61" t="b">
        <f aca="false">AND(D96,NOT(D97))</f>
        <v>0</v>
      </c>
      <c r="F96" s="63" t="n">
        <f aca="false">(C96-C95)/360</f>
        <v>0.261111111111111</v>
      </c>
      <c r="G96" s="57" t="n">
        <f aca="false">Curve!D89</f>
        <v>0.02252</v>
      </c>
      <c r="H96" s="64" t="n">
        <f aca="false">AF95</f>
        <v>0</v>
      </c>
      <c r="I96" s="64" t="n">
        <f aca="false">IF(D96,H96*Inputs!$G$22,0)</f>
        <v>0</v>
      </c>
      <c r="J96" s="32" t="n">
        <f aca="false">MAX(Inputs!$G$24-(A96-1),1)</f>
        <v>1</v>
      </c>
      <c r="K96" s="64" t="n">
        <f aca="false">IF(D96,MIN(H96-I96,IF(J96&gt;1,(H96-I96)*Inputs!$G$23/((1+Inputs!$G$23)^J96-1),H96-I96)),0)</f>
        <v>0</v>
      </c>
      <c r="L96" s="64" t="n">
        <f aca="false">IF(D96,(H96-I96-K96)*Inputs!$G$21,0)</f>
        <v>0</v>
      </c>
      <c r="M96" s="64" t="n">
        <f aca="false">IF(A96&gt;Inputs!$G$13,(1-Inputs!$G$12)*INDEX($I$11:$I$190,A96-Inputs!$G$13),0)</f>
        <v>0</v>
      </c>
      <c r="N96" s="64" t="n">
        <f aca="false">IF(D96,(H96-I96)*Inputs!$G$23,0)</f>
        <v>0</v>
      </c>
      <c r="O96" s="64" t="n">
        <f aca="false">AG95</f>
        <v>0</v>
      </c>
      <c r="P96" s="64" t="n">
        <f aca="false">AH95</f>
        <v>256983.980657201</v>
      </c>
      <c r="Q96" s="64" t="n">
        <f aca="false">IF(AND(D96,O96+P96&gt;0),Inputs!$C$25+Inputs!$C$26*H96/4,0)</f>
        <v>100000</v>
      </c>
      <c r="R96" s="64" t="n">
        <f aca="false">O96*IF(Inputs!$G$19="",G96+Inputs!$C$13,MAX(Inputs!$G$19,G96+Inputs!$C$13))*F96</f>
        <v>0</v>
      </c>
      <c r="S96" s="64" t="n">
        <f aca="false">P96*(G96+Inputs!$C$14)*F96</f>
        <v>1985.03365232862</v>
      </c>
      <c r="T96" s="64" t="n">
        <f aca="false">N96+M96-Q96-R96-S96</f>
        <v>-101985.033652329</v>
      </c>
      <c r="U96" s="64" t="n">
        <f aca="false">W95</f>
        <v>260422.420657149</v>
      </c>
      <c r="V96" s="64" t="n">
        <f aca="false">MIN(U96+I96,MAX(T96,0))</f>
        <v>0</v>
      </c>
      <c r="W96" s="64" t="n">
        <f aca="false">U96+I96-V96</f>
        <v>260422.420657149</v>
      </c>
      <c r="X96" s="64" t="n">
        <f aca="false">K96+L96+V96+IF(E96,H96-I96-K96-L96,0)</f>
        <v>0</v>
      </c>
      <c r="Y96" s="61" t="b">
        <f aca="false">AND(Inputs!$C$21=1,O96/Inputs!$C$10&lt;=Inputs!$C$22,Inputs!$G$14&lt;Inputs!$C$23,W96&lt;1)</f>
        <v>0</v>
      </c>
      <c r="Z96" s="61" t="b">
        <f aca="false">OR(AND(Inputs!$G$15=1,H96/Inputs!$C$17&lt;=Inputs!$C$24),AND(Inputs!$G$15=2,C96&gt;=Inputs!$G$16))</f>
        <v>0</v>
      </c>
      <c r="AA96" s="61" t="b">
        <f aca="false">OR(AA95,Z96)</f>
        <v>0</v>
      </c>
      <c r="AB96" s="61" t="b">
        <f aca="false">AND(Z96,NOT(AA95),D96,O96&gt;0)</f>
        <v>0</v>
      </c>
      <c r="AC96" s="63" t="n">
        <f aca="false">IF(AND(Y96,NOT(E96),O96+P96&gt;0),O96/(O96+P96),1)</f>
        <v>1</v>
      </c>
      <c r="AD96" s="64" t="n">
        <f aca="false">IF(AB96,O96,IF(D96,MIN(O96,IF(E96,AC96*X96+BF95,BE96*Inputs!$G$20)),0))</f>
        <v>0</v>
      </c>
      <c r="AE96" s="64" t="n">
        <f aca="false">IF(AB96,P96,IF(D96,MAX(MIN(P96,X96-MIN(O96,AC96*X96)),0),0))</f>
        <v>0</v>
      </c>
      <c r="AF96" s="64" t="n">
        <f aca="false">IF(OR(AB96,E96),0,MAX(H96-I96-K96-L96,0))</f>
        <v>0</v>
      </c>
      <c r="AG96" s="64" t="n">
        <f aca="false">IF(E96,0,O96-AD96)</f>
        <v>0</v>
      </c>
      <c r="AH96" s="64" t="n">
        <f aca="false">IF(OR(AB96,E96),0,P96-AE96)</f>
        <v>256983.980657201</v>
      </c>
      <c r="AI96" s="64" t="n">
        <f aca="false">IF(D96,R96+AD96,0)</f>
        <v>0</v>
      </c>
      <c r="AJ96" s="65" t="n">
        <f aca="false">(C96-Inputs!$G$6)/365</f>
        <v>21.413698630137</v>
      </c>
      <c r="AK96" s="29" t="n">
        <f aca="false">AG96/Inputs!$C$10</f>
        <v>0</v>
      </c>
      <c r="AL96" s="5"/>
      <c r="AM96" s="66" t="n">
        <f aca="false">F96</f>
        <v>0.261111111111111</v>
      </c>
      <c r="AN96" s="5"/>
      <c r="AO96" s="5" t="n">
        <f aca="false">AO95+LN(1+($G96+AO$7)*$AM96)</f>
        <v>0.543657119013297</v>
      </c>
      <c r="AP96" s="5" t="n">
        <f aca="false">AP95+LN(1+($G96+AP$7)*$AM96)</f>
        <v>0.545814490031733</v>
      </c>
      <c r="AQ96" s="5" t="n">
        <f aca="false">AQ95+LN(1+($G96+AQ$7)*$AM96)</f>
        <v>0.615111944718022</v>
      </c>
      <c r="AR96" s="5" t="n">
        <f aca="false">AR95+LN(1+($G96+AR$7)*$AM96)</f>
        <v>0.617267519906687</v>
      </c>
      <c r="AS96" s="5" t="n">
        <f aca="false">AS95+LN(1+($G96+AS$7)*$AM96)</f>
        <v>0.615895497099833</v>
      </c>
      <c r="AT96" s="5" t="n">
        <f aca="false">AT95+LN(1+($G96+AT$7)*$AM96)</f>
        <v>0.618051052604273</v>
      </c>
      <c r="AU96" s="5" t="n">
        <f aca="false">AU95+LN(1+($G96+AU$7)*$AM96)</f>
        <v>0.615895329803947</v>
      </c>
      <c r="AV96" s="5" t="n">
        <f aca="false">AV95+LN(1+($G96+AV$7)*$AM96)</f>
        <v>0.618050885312587</v>
      </c>
      <c r="AW96" s="5" t="n">
        <f aca="false">AW95+LN(1+($G96+AW$7)*$AM96)</f>
        <v>0.615895329860052</v>
      </c>
      <c r="AX96" s="5" t="n">
        <f aca="false">AX95+LN(1+($G96+AX$7)*$AM96)</f>
        <v>0.618050885368697</v>
      </c>
      <c r="AY96" s="5" t="n">
        <f aca="false">AY95+LN(1+($G96+AY$7)*$AM96)</f>
        <v>0.615895329860042</v>
      </c>
      <c r="AZ96" s="5" t="n">
        <f aca="false">AZ95+LN(1+($G96+AZ$7)*$AM96)</f>
        <v>0.618050885368678</v>
      </c>
      <c r="BA96" s="5" t="n">
        <f aca="false">BA95+LN(1+($G96+BA$7)*$AM96)</f>
        <v>0.615895329860042</v>
      </c>
      <c r="BB96" s="5" t="n">
        <f aca="false">BB95+LN(1+($G96+BB$7)*$AM96)</f>
        <v>0.618050885368678</v>
      </c>
      <c r="BC96" s="5" t="n">
        <f aca="false">BC95+LN(1+($G96+BC$7)*$AM96)</f>
        <v>0.615895329860042</v>
      </c>
      <c r="BD96" s="5" t="n">
        <f aca="false">BD95+LN(1+($G96+BD$7)*$AM96)</f>
        <v>0.618050885368678</v>
      </c>
      <c r="BE96" s="5" t="n">
        <f aca="false">IF(AB96,O96,IF(D96,MIN(O96,AC96*X96+BF95),0))</f>
        <v>0</v>
      </c>
      <c r="BF96" s="5" t="n">
        <f aca="false">IF(OR(AB96,E96),0,BE96-AD96)</f>
        <v>0</v>
      </c>
      <c r="BG96" s="5" t="n">
        <f aca="false">BG95+LN(1+($G96+BG$7)*$AM96)</f>
        <v>0.594336795899805</v>
      </c>
      <c r="BH96" s="5"/>
      <c r="BI96" s="5" t="n">
        <f aca="false">BI95+LN(1+($G96+BI$7)*$AM96)</f>
        <v>0.637448448503476</v>
      </c>
      <c r="BJ96" s="5"/>
      <c r="BK96" s="62" t="n">
        <f aca="false">C96</f>
        <v>54105</v>
      </c>
      <c r="BL96" s="67" t="n">
        <f aca="false">AI96</f>
        <v>0</v>
      </c>
    </row>
    <row r="97" customFormat="false" ht="15" hidden="false" customHeight="true" outlineLevel="0" collapsed="false">
      <c r="A97" s="3" t="n">
        <v>87</v>
      </c>
      <c r="B97" s="38" t="n">
        <f aca="false">EDATE(Inputs!$C$8,3*(A97-1))</f>
        <v>54193</v>
      </c>
      <c r="C97" s="38" t="n">
        <f aca="false">WORKDAY(B97-1,1)</f>
        <v>54193</v>
      </c>
      <c r="D97" s="61" t="b">
        <f aca="false">C97&lt;=Inputs!$C$9</f>
        <v>1</v>
      </c>
      <c r="E97" s="61" t="b">
        <f aca="false">AND(D97,NOT(D98))</f>
        <v>0</v>
      </c>
      <c r="F97" s="63" t="n">
        <f aca="false">(C97-C96)/360</f>
        <v>0.244444444444444</v>
      </c>
      <c r="G97" s="57" t="n">
        <f aca="false">Curve!D90</f>
        <v>0.02252</v>
      </c>
      <c r="H97" s="64" t="n">
        <f aca="false">AF96</f>
        <v>0</v>
      </c>
      <c r="I97" s="64" t="n">
        <f aca="false">IF(D97,H97*Inputs!$G$22,0)</f>
        <v>0</v>
      </c>
      <c r="J97" s="32" t="n">
        <f aca="false">MAX(Inputs!$G$24-(A97-1),1)</f>
        <v>1</v>
      </c>
      <c r="K97" s="64" t="n">
        <f aca="false">IF(D97,MIN(H97-I97,IF(J97&gt;1,(H97-I97)*Inputs!$G$23/((1+Inputs!$G$23)^J97-1),H97-I97)),0)</f>
        <v>0</v>
      </c>
      <c r="L97" s="64" t="n">
        <f aca="false">IF(D97,(H97-I97-K97)*Inputs!$G$21,0)</f>
        <v>0</v>
      </c>
      <c r="M97" s="64" t="n">
        <f aca="false">IF(A97&gt;Inputs!$G$13,(1-Inputs!$G$12)*INDEX($I$11:$I$190,A97-Inputs!$G$13),0)</f>
        <v>0</v>
      </c>
      <c r="N97" s="64" t="n">
        <f aca="false">IF(D97,(H97-I97)*Inputs!$G$23,0)</f>
        <v>0</v>
      </c>
      <c r="O97" s="64" t="n">
        <f aca="false">AG96</f>
        <v>0</v>
      </c>
      <c r="P97" s="64" t="n">
        <f aca="false">AH96</f>
        <v>256983.980657201</v>
      </c>
      <c r="Q97" s="64" t="n">
        <f aca="false">IF(AND(D97,O97+P97&gt;0),Inputs!$C$25+Inputs!$C$26*H97/4,0)</f>
        <v>100000</v>
      </c>
      <c r="R97" s="64" t="n">
        <f aca="false">O97*IF(Inputs!$G$19="",G97+Inputs!$C$13,MAX(Inputs!$G$19,G97+Inputs!$C$13))*F97</f>
        <v>0</v>
      </c>
      <c r="S97" s="64" t="n">
        <f aca="false">P97*(G97+Inputs!$C$14)*F97</f>
        <v>1858.32937664807</v>
      </c>
      <c r="T97" s="64" t="n">
        <f aca="false">N97+M97-Q97-R97-S97</f>
        <v>-101858.329376648</v>
      </c>
      <c r="U97" s="64" t="n">
        <f aca="false">W96</f>
        <v>260422.420657149</v>
      </c>
      <c r="V97" s="64" t="n">
        <f aca="false">MIN(U97+I97,MAX(T97,0))</f>
        <v>0</v>
      </c>
      <c r="W97" s="64" t="n">
        <f aca="false">U97+I97-V97</f>
        <v>260422.420657149</v>
      </c>
      <c r="X97" s="64" t="n">
        <f aca="false">K97+L97+V97+IF(E97,H97-I97-K97-L97,0)</f>
        <v>0</v>
      </c>
      <c r="Y97" s="61" t="b">
        <f aca="false">AND(Inputs!$C$21=1,O97/Inputs!$C$10&lt;=Inputs!$C$22,Inputs!$G$14&lt;Inputs!$C$23,W97&lt;1)</f>
        <v>0</v>
      </c>
      <c r="Z97" s="61" t="b">
        <f aca="false">OR(AND(Inputs!$G$15=1,H97/Inputs!$C$17&lt;=Inputs!$C$24),AND(Inputs!$G$15=2,C97&gt;=Inputs!$G$16))</f>
        <v>0</v>
      </c>
      <c r="AA97" s="61" t="b">
        <f aca="false">OR(AA96,Z97)</f>
        <v>0</v>
      </c>
      <c r="AB97" s="61" t="b">
        <f aca="false">AND(Z97,NOT(AA96),D97,O97&gt;0)</f>
        <v>0</v>
      </c>
      <c r="AC97" s="63" t="n">
        <f aca="false">IF(AND(Y97,NOT(E97),O97+P97&gt;0),O97/(O97+P97),1)</f>
        <v>1</v>
      </c>
      <c r="AD97" s="64" t="n">
        <f aca="false">IF(AB97,O97,IF(D97,MIN(O97,IF(E97,AC97*X97+BF96,BE97*Inputs!$G$20)),0))</f>
        <v>0</v>
      </c>
      <c r="AE97" s="64" t="n">
        <f aca="false">IF(AB97,P97,IF(D97,MAX(MIN(P97,X97-MIN(O97,AC97*X97)),0),0))</f>
        <v>0</v>
      </c>
      <c r="AF97" s="64" t="n">
        <f aca="false">IF(OR(AB97,E97),0,MAX(H97-I97-K97-L97,0))</f>
        <v>0</v>
      </c>
      <c r="AG97" s="64" t="n">
        <f aca="false">IF(E97,0,O97-AD97)</f>
        <v>0</v>
      </c>
      <c r="AH97" s="64" t="n">
        <f aca="false">IF(OR(AB97,E97),0,P97-AE97)</f>
        <v>256983.980657201</v>
      </c>
      <c r="AI97" s="64" t="n">
        <f aca="false">IF(D97,R97+AD97,0)</f>
        <v>0</v>
      </c>
      <c r="AJ97" s="65" t="n">
        <f aca="false">(C97-Inputs!$G$6)/365</f>
        <v>21.6547945205479</v>
      </c>
      <c r="AK97" s="29" t="n">
        <f aca="false">AG97/Inputs!$C$10</f>
        <v>0</v>
      </c>
      <c r="AL97" s="5"/>
      <c r="AM97" s="66" t="n">
        <f aca="false">F97</f>
        <v>0.244444444444444</v>
      </c>
      <c r="AN97" s="5"/>
      <c r="AO97" s="5" t="n">
        <f aca="false">AO96+LN(1+($G97+AO$7)*$AM97)</f>
        <v>0.549778787750344</v>
      </c>
      <c r="AP97" s="5" t="n">
        <f aca="false">AP96+LN(1+($G97+AP$7)*$AM97)</f>
        <v>0.551960453734401</v>
      </c>
      <c r="AQ97" s="5" t="n">
        <f aca="false">AQ96+LN(1+($G97+AQ$7)*$AM97)</f>
        <v>0.622038304053946</v>
      </c>
      <c r="AR97" s="5" t="n">
        <f aca="false">AR96+LN(1+($G97+AR$7)*$AM97)</f>
        <v>0.624218154666403</v>
      </c>
      <c r="AS97" s="5" t="n">
        <f aca="false">AS96+LN(1+($G97+AS$7)*$AM97)</f>
        <v>0.622830680558945</v>
      </c>
      <c r="AT97" s="5" t="n">
        <f aca="false">AT96+LN(1+($G97+AT$7)*$AM97)</f>
        <v>0.62501051127297</v>
      </c>
      <c r="AU97" s="5" t="n">
        <f aca="false">AU96+LN(1+($G97+AU$7)*$AM97)</f>
        <v>0.622830511379024</v>
      </c>
      <c r="AV97" s="5" t="n">
        <f aca="false">AV96+LN(1+($G97+AV$7)*$AM97)</f>
        <v>0.625010342097296</v>
      </c>
      <c r="AW97" s="5" t="n">
        <f aca="false">AW96+LN(1+($G97+AW$7)*$AM97)</f>
        <v>0.622830511435761</v>
      </c>
      <c r="AX97" s="5" t="n">
        <f aca="false">AX96+LN(1+($G97+AX$7)*$AM97)</f>
        <v>0.625010342154037</v>
      </c>
      <c r="AY97" s="5" t="n">
        <f aca="false">AY96+LN(1+($G97+AY$7)*$AM97)</f>
        <v>0.622830511435751</v>
      </c>
      <c r="AZ97" s="5" t="n">
        <f aca="false">AZ96+LN(1+($G97+AZ$7)*$AM97)</f>
        <v>0.625010342154018</v>
      </c>
      <c r="BA97" s="5" t="n">
        <f aca="false">BA96+LN(1+($G97+BA$7)*$AM97)</f>
        <v>0.622830511435751</v>
      </c>
      <c r="BB97" s="5" t="n">
        <f aca="false">BB96+LN(1+($G97+BB$7)*$AM97)</f>
        <v>0.625010342154018</v>
      </c>
      <c r="BC97" s="5" t="n">
        <f aca="false">BC96+LN(1+($G97+BC$7)*$AM97)</f>
        <v>0.622830511435751</v>
      </c>
      <c r="BD97" s="5" t="n">
        <f aca="false">BD96+LN(1+($G97+BD$7)*$AM97)</f>
        <v>0.625010342154018</v>
      </c>
      <c r="BE97" s="5" t="n">
        <f aca="false">IF(AB97,O97,IF(D97,MIN(O97,AC97*X97+BF96),0))</f>
        <v>0</v>
      </c>
      <c r="BF97" s="5" t="n">
        <f aca="false">IF(OR(AB97,E97),0,BE97-AD97)</f>
        <v>0</v>
      </c>
      <c r="BG97" s="5" t="n">
        <f aca="false">BG96+LN(1+($G97+BG$7)*$AM97)</f>
        <v>0.601029192962977</v>
      </c>
      <c r="BH97" s="5"/>
      <c r="BI97" s="5" t="n">
        <f aca="false">BI96+LN(1+($G97+BI$7)*$AM97)</f>
        <v>0.644626355661709</v>
      </c>
      <c r="BJ97" s="5"/>
      <c r="BK97" s="62" t="n">
        <f aca="false">C97</f>
        <v>54193</v>
      </c>
      <c r="BL97" s="67" t="n">
        <f aca="false">AI97</f>
        <v>0</v>
      </c>
    </row>
    <row r="98" customFormat="false" ht="15" hidden="false" customHeight="true" outlineLevel="0" collapsed="false">
      <c r="A98" s="3" t="n">
        <v>88</v>
      </c>
      <c r="B98" s="38" t="n">
        <f aca="false">EDATE(Inputs!$C$8,3*(A98-1))</f>
        <v>54285</v>
      </c>
      <c r="C98" s="38" t="n">
        <f aca="false">WORKDAY(B98-1,1)</f>
        <v>54287</v>
      </c>
      <c r="D98" s="61" t="b">
        <f aca="false">C98&lt;=Inputs!$C$9</f>
        <v>1</v>
      </c>
      <c r="E98" s="61" t="b">
        <f aca="false">AND(D98,NOT(D99))</f>
        <v>0</v>
      </c>
      <c r="F98" s="63" t="n">
        <f aca="false">(C98-C97)/360</f>
        <v>0.261111111111111</v>
      </c>
      <c r="G98" s="57" t="n">
        <f aca="false">Curve!D91</f>
        <v>0.02252</v>
      </c>
      <c r="H98" s="64" t="n">
        <f aca="false">AF97</f>
        <v>0</v>
      </c>
      <c r="I98" s="64" t="n">
        <f aca="false">IF(D98,H98*Inputs!$G$22,0)</f>
        <v>0</v>
      </c>
      <c r="J98" s="32" t="n">
        <f aca="false">MAX(Inputs!$G$24-(A98-1),1)</f>
        <v>1</v>
      </c>
      <c r="K98" s="64" t="n">
        <f aca="false">IF(D98,MIN(H98-I98,IF(J98&gt;1,(H98-I98)*Inputs!$G$23/((1+Inputs!$G$23)^J98-1),H98-I98)),0)</f>
        <v>0</v>
      </c>
      <c r="L98" s="64" t="n">
        <f aca="false">IF(D98,(H98-I98-K98)*Inputs!$G$21,0)</f>
        <v>0</v>
      </c>
      <c r="M98" s="64" t="n">
        <f aca="false">IF(A98&gt;Inputs!$G$13,(1-Inputs!$G$12)*INDEX($I$11:$I$190,A98-Inputs!$G$13),0)</f>
        <v>0</v>
      </c>
      <c r="N98" s="64" t="n">
        <f aca="false">IF(D98,(H98-I98)*Inputs!$G$23,0)</f>
        <v>0</v>
      </c>
      <c r="O98" s="64" t="n">
        <f aca="false">AG97</f>
        <v>0</v>
      </c>
      <c r="P98" s="64" t="n">
        <f aca="false">AH97</f>
        <v>256983.980657201</v>
      </c>
      <c r="Q98" s="64" t="n">
        <f aca="false">IF(AND(D98,O98+P98&gt;0),Inputs!$C$25+Inputs!$C$26*H98/4,0)</f>
        <v>100000</v>
      </c>
      <c r="R98" s="64" t="n">
        <f aca="false">O98*IF(Inputs!$G$19="",G98+Inputs!$C$13,MAX(Inputs!$G$19,G98+Inputs!$C$13))*F98</f>
        <v>0</v>
      </c>
      <c r="S98" s="64" t="n">
        <f aca="false">P98*(G98+Inputs!$C$14)*F98</f>
        <v>1985.03365232862</v>
      </c>
      <c r="T98" s="64" t="n">
        <f aca="false">N98+M98-Q98-R98-S98</f>
        <v>-101985.033652329</v>
      </c>
      <c r="U98" s="64" t="n">
        <f aca="false">W97</f>
        <v>260422.420657149</v>
      </c>
      <c r="V98" s="64" t="n">
        <f aca="false">MIN(U98+I98,MAX(T98,0))</f>
        <v>0</v>
      </c>
      <c r="W98" s="64" t="n">
        <f aca="false">U98+I98-V98</f>
        <v>260422.420657149</v>
      </c>
      <c r="X98" s="64" t="n">
        <f aca="false">K98+L98+V98+IF(E98,H98-I98-K98-L98,0)</f>
        <v>0</v>
      </c>
      <c r="Y98" s="61" t="b">
        <f aca="false">AND(Inputs!$C$21=1,O98/Inputs!$C$10&lt;=Inputs!$C$22,Inputs!$G$14&lt;Inputs!$C$23,W98&lt;1)</f>
        <v>0</v>
      </c>
      <c r="Z98" s="61" t="b">
        <f aca="false">OR(AND(Inputs!$G$15=1,H98/Inputs!$C$17&lt;=Inputs!$C$24),AND(Inputs!$G$15=2,C98&gt;=Inputs!$G$16))</f>
        <v>0</v>
      </c>
      <c r="AA98" s="61" t="b">
        <f aca="false">OR(AA97,Z98)</f>
        <v>0</v>
      </c>
      <c r="AB98" s="61" t="b">
        <f aca="false">AND(Z98,NOT(AA97),D98,O98&gt;0)</f>
        <v>0</v>
      </c>
      <c r="AC98" s="63" t="n">
        <f aca="false">IF(AND(Y98,NOT(E98),O98+P98&gt;0),O98/(O98+P98),1)</f>
        <v>1</v>
      </c>
      <c r="AD98" s="64" t="n">
        <f aca="false">IF(AB98,O98,IF(D98,MIN(O98,IF(E98,AC98*X98+BF97,BE98*Inputs!$G$20)),0))</f>
        <v>0</v>
      </c>
      <c r="AE98" s="64" t="n">
        <f aca="false">IF(AB98,P98,IF(D98,MAX(MIN(P98,X98-MIN(O98,AC98*X98)),0),0))</f>
        <v>0</v>
      </c>
      <c r="AF98" s="64" t="n">
        <f aca="false">IF(OR(AB98,E98),0,MAX(H98-I98-K98-L98,0))</f>
        <v>0</v>
      </c>
      <c r="AG98" s="64" t="n">
        <f aca="false">IF(E98,0,O98-AD98)</f>
        <v>0</v>
      </c>
      <c r="AH98" s="64" t="n">
        <f aca="false">IF(OR(AB98,E98),0,P98-AE98)</f>
        <v>256983.980657201</v>
      </c>
      <c r="AI98" s="64" t="n">
        <f aca="false">IF(D98,R98+AD98,0)</f>
        <v>0</v>
      </c>
      <c r="AJ98" s="65" t="n">
        <f aca="false">(C98-Inputs!$G$6)/365</f>
        <v>21.9123287671233</v>
      </c>
      <c r="AK98" s="29" t="n">
        <f aca="false">AG98/Inputs!$C$10</f>
        <v>0</v>
      </c>
      <c r="AL98" s="5"/>
      <c r="AM98" s="66" t="n">
        <f aca="false">F98</f>
        <v>0.261111111111111</v>
      </c>
      <c r="AN98" s="5"/>
      <c r="AO98" s="5" t="n">
        <f aca="false">AO97+LN(1+($G98+AO$7)*$AM98)</f>
        <v>0.556316481493757</v>
      </c>
      <c r="AP98" s="5" t="n">
        <f aca="false">AP97+LN(1+($G98+AP$7)*$AM98)</f>
        <v>0.558524088102814</v>
      </c>
      <c r="AQ98" s="5" t="n">
        <f aca="false">AQ97+LN(1+($G98+AQ$7)*$AM98)</f>
        <v>0.629435172732627</v>
      </c>
      <c r="AR98" s="5" t="n">
        <f aca="false">AR97+LN(1+($G98+AR$7)*$AM98)</f>
        <v>0.631640941692411</v>
      </c>
      <c r="AS98" s="5" t="n">
        <f aca="false">AS97+LN(1+($G98+AS$7)*$AM98)</f>
        <v>0.630236970568895</v>
      </c>
      <c r="AT98" s="5" t="n">
        <f aca="false">AT97+LN(1+($G98+AT$7)*$AM98)</f>
        <v>0.632442719386066</v>
      </c>
      <c r="AU98" s="5" t="n">
        <f aca="false">AU97+LN(1+($G98+AU$7)*$AM98)</f>
        <v>0.63023679937743</v>
      </c>
      <c r="AV98" s="5" t="n">
        <f aca="false">AV97+LN(1+($G98+AV$7)*$AM98)</f>
        <v>0.6324425481989</v>
      </c>
      <c r="AW98" s="5" t="n">
        <f aca="false">AW97+LN(1+($G98+AW$7)*$AM98)</f>
        <v>0.630236799434842</v>
      </c>
      <c r="AX98" s="5" t="n">
        <f aca="false">AX97+LN(1+($G98+AX$7)*$AM98)</f>
        <v>0.632442548256316</v>
      </c>
      <c r="AY98" s="5" t="n">
        <f aca="false">AY97+LN(1+($G98+AY$7)*$AM98)</f>
        <v>0.630236799434831</v>
      </c>
      <c r="AZ98" s="5" t="n">
        <f aca="false">AZ97+LN(1+($G98+AZ$7)*$AM98)</f>
        <v>0.632442548256297</v>
      </c>
      <c r="BA98" s="5" t="n">
        <f aca="false">BA97+LN(1+($G98+BA$7)*$AM98)</f>
        <v>0.630236799434831</v>
      </c>
      <c r="BB98" s="5" t="n">
        <f aca="false">BB97+LN(1+($G98+BB$7)*$AM98)</f>
        <v>0.632442548256297</v>
      </c>
      <c r="BC98" s="5" t="n">
        <f aca="false">BC97+LN(1+($G98+BC$7)*$AM98)</f>
        <v>0.630236799434831</v>
      </c>
      <c r="BD98" s="5" t="n">
        <f aca="false">BD97+LN(1+($G98+BD$7)*$AM98)</f>
        <v>0.632442548256297</v>
      </c>
      <c r="BE98" s="5" t="n">
        <f aca="false">IF(AB98,O98,IF(D98,MIN(O98,AC98*X98+BF97),0))</f>
        <v>0</v>
      </c>
      <c r="BF98" s="5" t="n">
        <f aca="false">IF(OR(AB98,E98),0,BE98-AD98)</f>
        <v>0</v>
      </c>
      <c r="BG98" s="5" t="n">
        <f aca="false">BG97+LN(1+($G98+BG$7)*$AM98)</f>
        <v>0.608176262977226</v>
      </c>
      <c r="BH98" s="5"/>
      <c r="BI98" s="5" t="n">
        <f aca="false">BI97+LN(1+($G98+BI$7)*$AM98)</f>
        <v>0.65229179446907</v>
      </c>
      <c r="BJ98" s="5"/>
      <c r="BK98" s="62" t="n">
        <f aca="false">C98</f>
        <v>54287</v>
      </c>
      <c r="BL98" s="67" t="n">
        <f aca="false">AI98</f>
        <v>0</v>
      </c>
    </row>
    <row r="99" customFormat="false" ht="15" hidden="false" customHeight="true" outlineLevel="0" collapsed="false">
      <c r="A99" s="3" t="n">
        <v>89</v>
      </c>
      <c r="B99" s="38" t="n">
        <f aca="false">EDATE(Inputs!$C$8,3*(A99-1))</f>
        <v>54377</v>
      </c>
      <c r="C99" s="38" t="n">
        <f aca="false">WORKDAY(B99-1,1)</f>
        <v>54378</v>
      </c>
      <c r="D99" s="61" t="b">
        <f aca="false">C99&lt;=Inputs!$C$9</f>
        <v>1</v>
      </c>
      <c r="E99" s="61" t="b">
        <f aca="false">AND(D99,NOT(D100))</f>
        <v>0</v>
      </c>
      <c r="F99" s="63" t="n">
        <f aca="false">(C99-C98)/360</f>
        <v>0.252777777777778</v>
      </c>
      <c r="G99" s="57" t="n">
        <f aca="false">Curve!D92</f>
        <v>0.02252</v>
      </c>
      <c r="H99" s="64" t="n">
        <f aca="false">AF98</f>
        <v>0</v>
      </c>
      <c r="I99" s="64" t="n">
        <f aca="false">IF(D99,H99*Inputs!$G$22,0)</f>
        <v>0</v>
      </c>
      <c r="J99" s="32" t="n">
        <f aca="false">MAX(Inputs!$G$24-(A99-1),1)</f>
        <v>1</v>
      </c>
      <c r="K99" s="64" t="n">
        <f aca="false">IF(D99,MIN(H99-I99,IF(J99&gt;1,(H99-I99)*Inputs!$G$23/((1+Inputs!$G$23)^J99-1),H99-I99)),0)</f>
        <v>0</v>
      </c>
      <c r="L99" s="64" t="n">
        <f aca="false">IF(D99,(H99-I99-K99)*Inputs!$G$21,0)</f>
        <v>0</v>
      </c>
      <c r="M99" s="64" t="n">
        <f aca="false">IF(A99&gt;Inputs!$G$13,(1-Inputs!$G$12)*INDEX($I$11:$I$190,A99-Inputs!$G$13),0)</f>
        <v>0</v>
      </c>
      <c r="N99" s="64" t="n">
        <f aca="false">IF(D99,(H99-I99)*Inputs!$G$23,0)</f>
        <v>0</v>
      </c>
      <c r="O99" s="64" t="n">
        <f aca="false">AG98</f>
        <v>0</v>
      </c>
      <c r="P99" s="64" t="n">
        <f aca="false">AH98</f>
        <v>256983.980657201</v>
      </c>
      <c r="Q99" s="64" t="n">
        <f aca="false">IF(AND(D99,O99+P99&gt;0),Inputs!$C$25+Inputs!$C$26*H99/4,0)</f>
        <v>100000</v>
      </c>
      <c r="R99" s="64" t="n">
        <f aca="false">O99*IF(Inputs!$G$19="",G99+Inputs!$C$13,MAX(Inputs!$G$19,G99+Inputs!$C$13))*F99</f>
        <v>0</v>
      </c>
      <c r="S99" s="64" t="n">
        <f aca="false">P99*(G99+Inputs!$C$14)*F99</f>
        <v>1921.68151448835</v>
      </c>
      <c r="T99" s="64" t="n">
        <f aca="false">N99+M99-Q99-R99-S99</f>
        <v>-101921.681514488</v>
      </c>
      <c r="U99" s="64" t="n">
        <f aca="false">W98</f>
        <v>260422.420657149</v>
      </c>
      <c r="V99" s="64" t="n">
        <f aca="false">MIN(U99+I99,MAX(T99,0))</f>
        <v>0</v>
      </c>
      <c r="W99" s="64" t="n">
        <f aca="false">U99+I99-V99</f>
        <v>260422.420657149</v>
      </c>
      <c r="X99" s="64" t="n">
        <f aca="false">K99+L99+V99+IF(E99,H99-I99-K99-L99,0)</f>
        <v>0</v>
      </c>
      <c r="Y99" s="61" t="b">
        <f aca="false">AND(Inputs!$C$21=1,O99/Inputs!$C$10&lt;=Inputs!$C$22,Inputs!$G$14&lt;Inputs!$C$23,W99&lt;1)</f>
        <v>0</v>
      </c>
      <c r="Z99" s="61" t="b">
        <f aca="false">OR(AND(Inputs!$G$15=1,H99/Inputs!$C$17&lt;=Inputs!$C$24),AND(Inputs!$G$15=2,C99&gt;=Inputs!$G$16))</f>
        <v>0</v>
      </c>
      <c r="AA99" s="61" t="b">
        <f aca="false">OR(AA98,Z99)</f>
        <v>0</v>
      </c>
      <c r="AB99" s="61" t="b">
        <f aca="false">AND(Z99,NOT(AA98),D99,O99&gt;0)</f>
        <v>0</v>
      </c>
      <c r="AC99" s="63" t="n">
        <f aca="false">IF(AND(Y99,NOT(E99),O99+P99&gt;0),O99/(O99+P99),1)</f>
        <v>1</v>
      </c>
      <c r="AD99" s="64" t="n">
        <f aca="false">IF(AB99,O99,IF(D99,MIN(O99,IF(E99,AC99*X99+BF98,BE99*Inputs!$G$20)),0))</f>
        <v>0</v>
      </c>
      <c r="AE99" s="64" t="n">
        <f aca="false">IF(AB99,P99,IF(D99,MAX(MIN(P99,X99-MIN(O99,AC99*X99)),0),0))</f>
        <v>0</v>
      </c>
      <c r="AF99" s="64" t="n">
        <f aca="false">IF(OR(AB99,E99),0,MAX(H99-I99-K99-L99,0))</f>
        <v>0</v>
      </c>
      <c r="AG99" s="64" t="n">
        <f aca="false">IF(E99,0,O99-AD99)</f>
        <v>0</v>
      </c>
      <c r="AH99" s="64" t="n">
        <f aca="false">IF(OR(AB99,E99),0,P99-AE99)</f>
        <v>256983.980657201</v>
      </c>
      <c r="AI99" s="64" t="n">
        <f aca="false">IF(D99,R99+AD99,0)</f>
        <v>0</v>
      </c>
      <c r="AJ99" s="65" t="n">
        <f aca="false">(C99-Inputs!$G$6)/365</f>
        <v>22.1616438356164</v>
      </c>
      <c r="AK99" s="29" t="n">
        <f aca="false">AG99/Inputs!$C$10</f>
        <v>0</v>
      </c>
      <c r="AL99" s="5"/>
      <c r="AM99" s="66" t="n">
        <f aca="false">F99</f>
        <v>0.252777777777778</v>
      </c>
      <c r="AN99" s="5"/>
      <c r="AO99" s="5" t="n">
        <f aca="false">AO98+LN(1+($G99+AO$7)*$AM99)</f>
        <v>0.562646184368587</v>
      </c>
      <c r="AP99" s="5" t="n">
        <f aca="false">AP98+LN(1+($G99+AP$7)*$AM99)</f>
        <v>0.564878908944453</v>
      </c>
      <c r="AQ99" s="5" t="n">
        <f aca="false">AQ98+LN(1+($G99+AQ$7)*$AM99)</f>
        <v>0.63659681441231</v>
      </c>
      <c r="AR99" s="5" t="n">
        <f aca="false">AR98+LN(1+($G99+AR$7)*$AM99)</f>
        <v>0.638827680451243</v>
      </c>
      <c r="AS99" s="5" t="n">
        <f aca="false">AS98+LN(1+($G99+AS$7)*$AM99)</f>
        <v>0.637407735046098</v>
      </c>
      <c r="AT99" s="5" t="n">
        <f aca="false">AT98+LN(1+($G99+AT$7)*$AM99)</f>
        <v>0.639638580713467</v>
      </c>
      <c r="AU99" s="5" t="n">
        <f aca="false">AU98+LN(1+($G99+AU$7)*$AM99)</f>
        <v>0.637407561906829</v>
      </c>
      <c r="AV99" s="5" t="n">
        <f aca="false">AV98+LN(1+($G99+AV$7)*$AM99)</f>
        <v>0.639638407578546</v>
      </c>
      <c r="AW99" s="5" t="n">
        <f aca="false">AW98+LN(1+($G99+AW$7)*$AM99)</f>
        <v>0.637407561964895</v>
      </c>
      <c r="AX99" s="5" t="n">
        <f aca="false">AX98+LN(1+($G99+AX$7)*$AM99)</f>
        <v>0.639638407636615</v>
      </c>
      <c r="AY99" s="5" t="n">
        <f aca="false">AY98+LN(1+($G99+AY$7)*$AM99)</f>
        <v>0.637407561964884</v>
      </c>
      <c r="AZ99" s="5" t="n">
        <f aca="false">AZ98+LN(1+($G99+AZ$7)*$AM99)</f>
        <v>0.639638407636595</v>
      </c>
      <c r="BA99" s="5" t="n">
        <f aca="false">BA98+LN(1+($G99+BA$7)*$AM99)</f>
        <v>0.637407561964884</v>
      </c>
      <c r="BB99" s="5" t="n">
        <f aca="false">BB98+LN(1+($G99+BB$7)*$AM99)</f>
        <v>0.639638407636595</v>
      </c>
      <c r="BC99" s="5" t="n">
        <f aca="false">BC98+LN(1+($G99+BC$7)*$AM99)</f>
        <v>0.637407561964884</v>
      </c>
      <c r="BD99" s="5" t="n">
        <f aca="false">BD98+LN(1+($G99+BD$7)*$AM99)</f>
        <v>0.639638407636595</v>
      </c>
      <c r="BE99" s="5" t="n">
        <f aca="false">IF(AB99,O99,IF(D99,MIN(O99,AC99*X99+BF98),0))</f>
        <v>0</v>
      </c>
      <c r="BF99" s="5" t="n">
        <f aca="false">IF(OR(AB99,E99),0,BE99-AD99)</f>
        <v>0</v>
      </c>
      <c r="BG99" s="5" t="n">
        <f aca="false">BG98+LN(1+($G99+BG$7)*$AM99)</f>
        <v>0.615096022356873</v>
      </c>
      <c r="BH99" s="5"/>
      <c r="BI99" s="5" t="n">
        <f aca="false">BI98+LN(1+($G99+BI$7)*$AM99)</f>
        <v>0.659713497162756</v>
      </c>
      <c r="BJ99" s="5"/>
      <c r="BK99" s="62" t="n">
        <f aca="false">C99</f>
        <v>54378</v>
      </c>
      <c r="BL99" s="67" t="n">
        <f aca="false">AI99</f>
        <v>0</v>
      </c>
    </row>
    <row r="100" customFormat="false" ht="15" hidden="false" customHeight="true" outlineLevel="0" collapsed="false">
      <c r="A100" s="3" t="n">
        <v>90</v>
      </c>
      <c r="B100" s="38" t="n">
        <f aca="false">EDATE(Inputs!$C$8,3*(A100-1))</f>
        <v>54469</v>
      </c>
      <c r="C100" s="38" t="n">
        <f aca="false">WORKDAY(B100-1,1)</f>
        <v>54469</v>
      </c>
      <c r="D100" s="61" t="b">
        <f aca="false">C100&lt;=Inputs!$C$9</f>
        <v>1</v>
      </c>
      <c r="E100" s="61" t="b">
        <f aca="false">AND(D100,NOT(D101))</f>
        <v>0</v>
      </c>
      <c r="F100" s="63" t="n">
        <f aca="false">(C100-C99)/360</f>
        <v>0.252777777777778</v>
      </c>
      <c r="G100" s="57" t="n">
        <f aca="false">Curve!D93</f>
        <v>0.02252</v>
      </c>
      <c r="H100" s="64" t="n">
        <f aca="false">AF99</f>
        <v>0</v>
      </c>
      <c r="I100" s="64" t="n">
        <f aca="false">IF(D100,H100*Inputs!$G$22,0)</f>
        <v>0</v>
      </c>
      <c r="J100" s="32" t="n">
        <f aca="false">MAX(Inputs!$G$24-(A100-1),1)</f>
        <v>1</v>
      </c>
      <c r="K100" s="64" t="n">
        <f aca="false">IF(D100,MIN(H100-I100,IF(J100&gt;1,(H100-I100)*Inputs!$G$23/((1+Inputs!$G$23)^J100-1),H100-I100)),0)</f>
        <v>0</v>
      </c>
      <c r="L100" s="64" t="n">
        <f aca="false">IF(D100,(H100-I100-K100)*Inputs!$G$21,0)</f>
        <v>0</v>
      </c>
      <c r="M100" s="64" t="n">
        <f aca="false">IF(A100&gt;Inputs!$G$13,(1-Inputs!$G$12)*INDEX($I$11:$I$190,A100-Inputs!$G$13),0)</f>
        <v>0</v>
      </c>
      <c r="N100" s="64" t="n">
        <f aca="false">IF(D100,(H100-I100)*Inputs!$G$23,0)</f>
        <v>0</v>
      </c>
      <c r="O100" s="64" t="n">
        <f aca="false">AG99</f>
        <v>0</v>
      </c>
      <c r="P100" s="64" t="n">
        <f aca="false">AH99</f>
        <v>256983.980657201</v>
      </c>
      <c r="Q100" s="64" t="n">
        <f aca="false">IF(AND(D100,O100+P100&gt;0),Inputs!$C$25+Inputs!$C$26*H100/4,0)</f>
        <v>100000</v>
      </c>
      <c r="R100" s="64" t="n">
        <f aca="false">O100*IF(Inputs!$G$19="",G100+Inputs!$C$13,MAX(Inputs!$G$19,G100+Inputs!$C$13))*F100</f>
        <v>0</v>
      </c>
      <c r="S100" s="64" t="n">
        <f aca="false">P100*(G100+Inputs!$C$14)*F100</f>
        <v>1921.68151448835</v>
      </c>
      <c r="T100" s="64" t="n">
        <f aca="false">N100+M100-Q100-R100-S100</f>
        <v>-101921.681514488</v>
      </c>
      <c r="U100" s="64" t="n">
        <f aca="false">W99</f>
        <v>260422.420657149</v>
      </c>
      <c r="V100" s="64" t="n">
        <f aca="false">MIN(U100+I100,MAX(T100,0))</f>
        <v>0</v>
      </c>
      <c r="W100" s="64" t="n">
        <f aca="false">U100+I100-V100</f>
        <v>260422.420657149</v>
      </c>
      <c r="X100" s="64" t="n">
        <f aca="false">K100+L100+V100+IF(E100,H100-I100-K100-L100,0)</f>
        <v>0</v>
      </c>
      <c r="Y100" s="61" t="b">
        <f aca="false">AND(Inputs!$C$21=1,O100/Inputs!$C$10&lt;=Inputs!$C$22,Inputs!$G$14&lt;Inputs!$C$23,W100&lt;1)</f>
        <v>0</v>
      </c>
      <c r="Z100" s="61" t="b">
        <f aca="false">OR(AND(Inputs!$G$15=1,H100/Inputs!$C$17&lt;=Inputs!$C$24),AND(Inputs!$G$15=2,C100&gt;=Inputs!$G$16))</f>
        <v>0</v>
      </c>
      <c r="AA100" s="61" t="b">
        <f aca="false">OR(AA99,Z100)</f>
        <v>0</v>
      </c>
      <c r="AB100" s="61" t="b">
        <f aca="false">AND(Z100,NOT(AA99),D100,O100&gt;0)</f>
        <v>0</v>
      </c>
      <c r="AC100" s="63" t="n">
        <f aca="false">IF(AND(Y100,NOT(E100),O100+P100&gt;0),O100/(O100+P100),1)</f>
        <v>1</v>
      </c>
      <c r="AD100" s="64" t="n">
        <f aca="false">IF(AB100,O100,IF(D100,MIN(O100,IF(E100,AC100*X100+BF99,BE100*Inputs!$G$20)),0))</f>
        <v>0</v>
      </c>
      <c r="AE100" s="64" t="n">
        <f aca="false">IF(AB100,P100,IF(D100,MAX(MIN(P100,X100-MIN(O100,AC100*X100)),0),0))</f>
        <v>0</v>
      </c>
      <c r="AF100" s="64" t="n">
        <f aca="false">IF(OR(AB100,E100),0,MAX(H100-I100-K100-L100,0))</f>
        <v>0</v>
      </c>
      <c r="AG100" s="64" t="n">
        <f aca="false">IF(E100,0,O100-AD100)</f>
        <v>0</v>
      </c>
      <c r="AH100" s="64" t="n">
        <f aca="false">IF(OR(AB100,E100),0,P100-AE100)</f>
        <v>256983.980657201</v>
      </c>
      <c r="AI100" s="64" t="n">
        <f aca="false">IF(D100,R100+AD100,0)</f>
        <v>0</v>
      </c>
      <c r="AJ100" s="65" t="n">
        <f aca="false">(C100-Inputs!$G$6)/365</f>
        <v>22.4109589041096</v>
      </c>
      <c r="AK100" s="29" t="n">
        <f aca="false">AG100/Inputs!$C$10</f>
        <v>0</v>
      </c>
      <c r="AL100" s="5"/>
      <c r="AM100" s="66" t="n">
        <f aca="false">F100</f>
        <v>0.252777777777778</v>
      </c>
      <c r="AN100" s="5"/>
      <c r="AO100" s="5" t="n">
        <f aca="false">AO99+LN(1+($G100+AO$7)*$AM100)</f>
        <v>0.568975887243417</v>
      </c>
      <c r="AP100" s="5" t="n">
        <f aca="false">AP99+LN(1+($G100+AP$7)*$AM100)</f>
        <v>0.571233729786092</v>
      </c>
      <c r="AQ100" s="5" t="n">
        <f aca="false">AQ99+LN(1+($G100+AQ$7)*$AM100)</f>
        <v>0.643758456091993</v>
      </c>
      <c r="AR100" s="5" t="n">
        <f aca="false">AR99+LN(1+($G100+AR$7)*$AM100)</f>
        <v>0.646014419210074</v>
      </c>
      <c r="AS100" s="5" t="n">
        <f aca="false">AS99+LN(1+($G100+AS$7)*$AM100)</f>
        <v>0.644578499523301</v>
      </c>
      <c r="AT100" s="5" t="n">
        <f aca="false">AT99+LN(1+($G100+AT$7)*$AM100)</f>
        <v>0.646834442040867</v>
      </c>
      <c r="AU100" s="5" t="n">
        <f aca="false">AU99+LN(1+($G100+AU$7)*$AM100)</f>
        <v>0.644578324436228</v>
      </c>
      <c r="AV100" s="5" t="n">
        <f aca="false">AV99+LN(1+($G100+AV$7)*$AM100)</f>
        <v>0.646834266958191</v>
      </c>
      <c r="AW100" s="5" t="n">
        <f aca="false">AW99+LN(1+($G100+AW$7)*$AM100)</f>
        <v>0.644578324494947</v>
      </c>
      <c r="AX100" s="5" t="n">
        <f aca="false">AX99+LN(1+($G100+AX$7)*$AM100)</f>
        <v>0.646834267016914</v>
      </c>
      <c r="AY100" s="5" t="n">
        <f aca="false">AY99+LN(1+($G100+AY$7)*$AM100)</f>
        <v>0.644578324494936</v>
      </c>
      <c r="AZ100" s="5" t="n">
        <f aca="false">AZ99+LN(1+($G100+AZ$7)*$AM100)</f>
        <v>0.646834267016894</v>
      </c>
      <c r="BA100" s="5" t="n">
        <f aca="false">BA99+LN(1+($G100+BA$7)*$AM100)</f>
        <v>0.644578324494936</v>
      </c>
      <c r="BB100" s="5" t="n">
        <f aca="false">BB99+LN(1+($G100+BB$7)*$AM100)</f>
        <v>0.646834267016894</v>
      </c>
      <c r="BC100" s="5" t="n">
        <f aca="false">BC99+LN(1+($G100+BC$7)*$AM100)</f>
        <v>0.644578324494936</v>
      </c>
      <c r="BD100" s="5" t="n">
        <f aca="false">BD99+LN(1+($G100+BD$7)*$AM100)</f>
        <v>0.646834267016894</v>
      </c>
      <c r="BE100" s="5" t="n">
        <f aca="false">IF(AB100,O100,IF(D100,MIN(O100,AC100*X100+BF99),0))</f>
        <v>0</v>
      </c>
      <c r="BF100" s="5" t="n">
        <f aca="false">IF(OR(AB100,E100),0,BE100-AD100)</f>
        <v>0</v>
      </c>
      <c r="BG100" s="5" t="n">
        <f aca="false">BG99+LN(1+($G100+BG$7)*$AM100)</f>
        <v>0.62201578173652</v>
      </c>
      <c r="BH100" s="5"/>
      <c r="BI100" s="5" t="n">
        <f aca="false">BI99+LN(1+($G100+BI$7)*$AM100)</f>
        <v>0.667135199856442</v>
      </c>
      <c r="BJ100" s="5"/>
      <c r="BK100" s="62" t="n">
        <f aca="false">C100</f>
        <v>54469</v>
      </c>
      <c r="BL100" s="67" t="n">
        <f aca="false">AI100</f>
        <v>0</v>
      </c>
    </row>
    <row r="101" customFormat="false" ht="15" hidden="false" customHeight="true" outlineLevel="0" collapsed="false">
      <c r="A101" s="3" t="n">
        <v>91</v>
      </c>
      <c r="B101" s="38" t="n">
        <f aca="false">EDATE(Inputs!$C$8,3*(A101-1))</f>
        <v>54558</v>
      </c>
      <c r="C101" s="38" t="n">
        <f aca="false">WORKDAY(B101-1,1)</f>
        <v>54560</v>
      </c>
      <c r="D101" s="61" t="b">
        <f aca="false">C101&lt;=Inputs!$C$9</f>
        <v>1</v>
      </c>
      <c r="E101" s="61" t="b">
        <f aca="false">AND(D101,NOT(D102))</f>
        <v>0</v>
      </c>
      <c r="F101" s="63" t="n">
        <f aca="false">(C101-C100)/360</f>
        <v>0.252777777777778</v>
      </c>
      <c r="G101" s="57" t="n">
        <f aca="false">Curve!D94</f>
        <v>0.02252</v>
      </c>
      <c r="H101" s="64" t="n">
        <f aca="false">AF100</f>
        <v>0</v>
      </c>
      <c r="I101" s="64" t="n">
        <f aca="false">IF(D101,H101*Inputs!$G$22,0)</f>
        <v>0</v>
      </c>
      <c r="J101" s="32" t="n">
        <f aca="false">MAX(Inputs!$G$24-(A101-1),1)</f>
        <v>1</v>
      </c>
      <c r="K101" s="64" t="n">
        <f aca="false">IF(D101,MIN(H101-I101,IF(J101&gt;1,(H101-I101)*Inputs!$G$23/((1+Inputs!$G$23)^J101-1),H101-I101)),0)</f>
        <v>0</v>
      </c>
      <c r="L101" s="64" t="n">
        <f aca="false">IF(D101,(H101-I101-K101)*Inputs!$G$21,0)</f>
        <v>0</v>
      </c>
      <c r="M101" s="64" t="n">
        <f aca="false">IF(A101&gt;Inputs!$G$13,(1-Inputs!$G$12)*INDEX($I$11:$I$190,A101-Inputs!$G$13),0)</f>
        <v>0</v>
      </c>
      <c r="N101" s="64" t="n">
        <f aca="false">IF(D101,(H101-I101)*Inputs!$G$23,0)</f>
        <v>0</v>
      </c>
      <c r="O101" s="64" t="n">
        <f aca="false">AG100</f>
        <v>0</v>
      </c>
      <c r="P101" s="64" t="n">
        <f aca="false">AH100</f>
        <v>256983.980657201</v>
      </c>
      <c r="Q101" s="64" t="n">
        <f aca="false">IF(AND(D101,O101+P101&gt;0),Inputs!$C$25+Inputs!$C$26*H101/4,0)</f>
        <v>100000</v>
      </c>
      <c r="R101" s="64" t="n">
        <f aca="false">O101*IF(Inputs!$G$19="",G101+Inputs!$C$13,MAX(Inputs!$G$19,G101+Inputs!$C$13))*F101</f>
        <v>0</v>
      </c>
      <c r="S101" s="64" t="n">
        <f aca="false">P101*(G101+Inputs!$C$14)*F101</f>
        <v>1921.68151448835</v>
      </c>
      <c r="T101" s="64" t="n">
        <f aca="false">N101+M101-Q101-R101-S101</f>
        <v>-101921.681514488</v>
      </c>
      <c r="U101" s="64" t="n">
        <f aca="false">W100</f>
        <v>260422.420657149</v>
      </c>
      <c r="V101" s="64" t="n">
        <f aca="false">MIN(U101+I101,MAX(T101,0))</f>
        <v>0</v>
      </c>
      <c r="W101" s="64" t="n">
        <f aca="false">U101+I101-V101</f>
        <v>260422.420657149</v>
      </c>
      <c r="X101" s="64" t="n">
        <f aca="false">K101+L101+V101+IF(E101,H101-I101-K101-L101,0)</f>
        <v>0</v>
      </c>
      <c r="Y101" s="61" t="b">
        <f aca="false">AND(Inputs!$C$21=1,O101/Inputs!$C$10&lt;=Inputs!$C$22,Inputs!$G$14&lt;Inputs!$C$23,W101&lt;1)</f>
        <v>0</v>
      </c>
      <c r="Z101" s="61" t="b">
        <f aca="false">OR(AND(Inputs!$G$15=1,H101/Inputs!$C$17&lt;=Inputs!$C$24),AND(Inputs!$G$15=2,C101&gt;=Inputs!$G$16))</f>
        <v>0</v>
      </c>
      <c r="AA101" s="61" t="b">
        <f aca="false">OR(AA100,Z101)</f>
        <v>0</v>
      </c>
      <c r="AB101" s="61" t="b">
        <f aca="false">AND(Z101,NOT(AA100),D101,O101&gt;0)</f>
        <v>0</v>
      </c>
      <c r="AC101" s="63" t="n">
        <f aca="false">IF(AND(Y101,NOT(E101),O101+P101&gt;0),O101/(O101+P101),1)</f>
        <v>1</v>
      </c>
      <c r="AD101" s="64" t="n">
        <f aca="false">IF(AB101,O101,IF(D101,MIN(O101,IF(E101,AC101*X101+BF100,BE101*Inputs!$G$20)),0))</f>
        <v>0</v>
      </c>
      <c r="AE101" s="64" t="n">
        <f aca="false">IF(AB101,P101,IF(D101,MAX(MIN(P101,X101-MIN(O101,AC101*X101)),0),0))</f>
        <v>0</v>
      </c>
      <c r="AF101" s="64" t="n">
        <f aca="false">IF(OR(AB101,E101),0,MAX(H101-I101-K101-L101,0))</f>
        <v>0</v>
      </c>
      <c r="AG101" s="64" t="n">
        <f aca="false">IF(E101,0,O101-AD101)</f>
        <v>0</v>
      </c>
      <c r="AH101" s="64" t="n">
        <f aca="false">IF(OR(AB101,E101),0,P101-AE101)</f>
        <v>256983.980657201</v>
      </c>
      <c r="AI101" s="64" t="n">
        <f aca="false">IF(D101,R101+AD101,0)</f>
        <v>0</v>
      </c>
      <c r="AJ101" s="65" t="n">
        <f aca="false">(C101-Inputs!$G$6)/365</f>
        <v>22.6602739726027</v>
      </c>
      <c r="AK101" s="29" t="n">
        <f aca="false">AG101/Inputs!$C$10</f>
        <v>0</v>
      </c>
      <c r="AL101" s="5"/>
      <c r="AM101" s="66" t="n">
        <f aca="false">F101</f>
        <v>0.252777777777778</v>
      </c>
      <c r="AN101" s="5"/>
      <c r="AO101" s="5" t="n">
        <f aca="false">AO100+LN(1+($G101+AO$7)*$AM101)</f>
        <v>0.575305590118247</v>
      </c>
      <c r="AP101" s="5" t="n">
        <f aca="false">AP100+LN(1+($G101+AP$7)*$AM101)</f>
        <v>0.57758855062773</v>
      </c>
      <c r="AQ101" s="5" t="n">
        <f aca="false">AQ100+LN(1+($G101+AQ$7)*$AM101)</f>
        <v>0.650920097771675</v>
      </c>
      <c r="AR101" s="5" t="n">
        <f aca="false">AR100+LN(1+($G101+AR$7)*$AM101)</f>
        <v>0.653201157968906</v>
      </c>
      <c r="AS101" s="5" t="n">
        <f aca="false">AS100+LN(1+($G101+AS$7)*$AM101)</f>
        <v>0.651749264000504</v>
      </c>
      <c r="AT101" s="5" t="n">
        <f aca="false">AT100+LN(1+($G101+AT$7)*$AM101)</f>
        <v>0.654030303368268</v>
      </c>
      <c r="AU101" s="5" t="n">
        <f aca="false">AU100+LN(1+($G101+AU$7)*$AM101)</f>
        <v>0.651749086965627</v>
      </c>
      <c r="AV101" s="5" t="n">
        <f aca="false">AV100+LN(1+($G101+AV$7)*$AM101)</f>
        <v>0.654030126337837</v>
      </c>
      <c r="AW101" s="5" t="n">
        <f aca="false">AW100+LN(1+($G101+AW$7)*$AM101)</f>
        <v>0.651749087025</v>
      </c>
      <c r="AX101" s="5" t="n">
        <f aca="false">AX100+LN(1+($G101+AX$7)*$AM101)</f>
        <v>0.654030126397213</v>
      </c>
      <c r="AY101" s="5" t="n">
        <f aca="false">AY100+LN(1+($G101+AY$7)*$AM101)</f>
        <v>0.651749087024988</v>
      </c>
      <c r="AZ101" s="5" t="n">
        <f aca="false">AZ100+LN(1+($G101+AZ$7)*$AM101)</f>
        <v>0.654030126397193</v>
      </c>
      <c r="BA101" s="5" t="n">
        <f aca="false">BA100+LN(1+($G101+BA$7)*$AM101)</f>
        <v>0.651749087024988</v>
      </c>
      <c r="BB101" s="5" t="n">
        <f aca="false">BB100+LN(1+($G101+BB$7)*$AM101)</f>
        <v>0.654030126397193</v>
      </c>
      <c r="BC101" s="5" t="n">
        <f aca="false">BC100+LN(1+($G101+BC$7)*$AM101)</f>
        <v>0.651749087024988</v>
      </c>
      <c r="BD101" s="5" t="n">
        <f aca="false">BD100+LN(1+($G101+BD$7)*$AM101)</f>
        <v>0.654030126397193</v>
      </c>
      <c r="BE101" s="5" t="n">
        <f aca="false">IF(AB101,O101,IF(D101,MIN(O101,AC101*X101+BF100),0))</f>
        <v>0</v>
      </c>
      <c r="BF101" s="5" t="n">
        <f aca="false">IF(OR(AB101,E101),0,BE101-AD101)</f>
        <v>0</v>
      </c>
      <c r="BG101" s="5" t="n">
        <f aca="false">BG100+LN(1+($G101+BG$7)*$AM101)</f>
        <v>0.628935541116167</v>
      </c>
      <c r="BH101" s="5"/>
      <c r="BI101" s="5" t="n">
        <f aca="false">BI100+LN(1+($G101+BI$7)*$AM101)</f>
        <v>0.674556902550127</v>
      </c>
      <c r="BJ101" s="5"/>
      <c r="BK101" s="62" t="n">
        <f aca="false">C101</f>
        <v>54560</v>
      </c>
      <c r="BL101" s="67" t="n">
        <f aca="false">AI101</f>
        <v>0</v>
      </c>
    </row>
    <row r="102" customFormat="false" ht="15" hidden="false" customHeight="true" outlineLevel="0" collapsed="false">
      <c r="A102" s="3" t="n">
        <v>92</v>
      </c>
      <c r="B102" s="38" t="n">
        <f aca="false">EDATE(Inputs!$C$8,3*(A102-1))</f>
        <v>54650</v>
      </c>
      <c r="C102" s="38" t="n">
        <f aca="false">WORKDAY(B102-1,1)</f>
        <v>54651</v>
      </c>
      <c r="D102" s="61" t="b">
        <f aca="false">C102&lt;=Inputs!$C$9</f>
        <v>1</v>
      </c>
      <c r="E102" s="61" t="b">
        <f aca="false">AND(D102,NOT(D103))</f>
        <v>0</v>
      </c>
      <c r="F102" s="63" t="n">
        <f aca="false">(C102-C101)/360</f>
        <v>0.252777777777778</v>
      </c>
      <c r="G102" s="57" t="n">
        <f aca="false">Curve!D95</f>
        <v>0.02252</v>
      </c>
      <c r="H102" s="64" t="n">
        <f aca="false">AF101</f>
        <v>0</v>
      </c>
      <c r="I102" s="64" t="n">
        <f aca="false">IF(D102,H102*Inputs!$G$22,0)</f>
        <v>0</v>
      </c>
      <c r="J102" s="32" t="n">
        <f aca="false">MAX(Inputs!$G$24-(A102-1),1)</f>
        <v>1</v>
      </c>
      <c r="K102" s="64" t="n">
        <f aca="false">IF(D102,MIN(H102-I102,IF(J102&gt;1,(H102-I102)*Inputs!$G$23/((1+Inputs!$G$23)^J102-1),H102-I102)),0)</f>
        <v>0</v>
      </c>
      <c r="L102" s="64" t="n">
        <f aca="false">IF(D102,(H102-I102-K102)*Inputs!$G$21,0)</f>
        <v>0</v>
      </c>
      <c r="M102" s="64" t="n">
        <f aca="false">IF(A102&gt;Inputs!$G$13,(1-Inputs!$G$12)*INDEX($I$11:$I$190,A102-Inputs!$G$13),0)</f>
        <v>0</v>
      </c>
      <c r="N102" s="64" t="n">
        <f aca="false">IF(D102,(H102-I102)*Inputs!$G$23,0)</f>
        <v>0</v>
      </c>
      <c r="O102" s="64" t="n">
        <f aca="false">AG101</f>
        <v>0</v>
      </c>
      <c r="P102" s="64" t="n">
        <f aca="false">AH101</f>
        <v>256983.980657201</v>
      </c>
      <c r="Q102" s="64" t="n">
        <f aca="false">IF(AND(D102,O102+P102&gt;0),Inputs!$C$25+Inputs!$C$26*H102/4,0)</f>
        <v>100000</v>
      </c>
      <c r="R102" s="64" t="n">
        <f aca="false">O102*IF(Inputs!$G$19="",G102+Inputs!$C$13,MAX(Inputs!$G$19,G102+Inputs!$C$13))*F102</f>
        <v>0</v>
      </c>
      <c r="S102" s="64" t="n">
        <f aca="false">P102*(G102+Inputs!$C$14)*F102</f>
        <v>1921.68151448835</v>
      </c>
      <c r="T102" s="64" t="n">
        <f aca="false">N102+M102-Q102-R102-S102</f>
        <v>-101921.681514488</v>
      </c>
      <c r="U102" s="64" t="n">
        <f aca="false">W101</f>
        <v>260422.420657149</v>
      </c>
      <c r="V102" s="64" t="n">
        <f aca="false">MIN(U102+I102,MAX(T102,0))</f>
        <v>0</v>
      </c>
      <c r="W102" s="64" t="n">
        <f aca="false">U102+I102-V102</f>
        <v>260422.420657149</v>
      </c>
      <c r="X102" s="64" t="n">
        <f aca="false">K102+L102+V102+IF(E102,H102-I102-K102-L102,0)</f>
        <v>0</v>
      </c>
      <c r="Y102" s="61" t="b">
        <f aca="false">AND(Inputs!$C$21=1,O102/Inputs!$C$10&lt;=Inputs!$C$22,Inputs!$G$14&lt;Inputs!$C$23,W102&lt;1)</f>
        <v>0</v>
      </c>
      <c r="Z102" s="61" t="b">
        <f aca="false">OR(AND(Inputs!$G$15=1,H102/Inputs!$C$17&lt;=Inputs!$C$24),AND(Inputs!$G$15=2,C102&gt;=Inputs!$G$16))</f>
        <v>0</v>
      </c>
      <c r="AA102" s="61" t="b">
        <f aca="false">OR(AA101,Z102)</f>
        <v>0</v>
      </c>
      <c r="AB102" s="61" t="b">
        <f aca="false">AND(Z102,NOT(AA101),D102,O102&gt;0)</f>
        <v>0</v>
      </c>
      <c r="AC102" s="63" t="n">
        <f aca="false">IF(AND(Y102,NOT(E102),O102+P102&gt;0),O102/(O102+P102),1)</f>
        <v>1</v>
      </c>
      <c r="AD102" s="64" t="n">
        <f aca="false">IF(AB102,O102,IF(D102,MIN(O102,IF(E102,AC102*X102+BF101,BE102*Inputs!$G$20)),0))</f>
        <v>0</v>
      </c>
      <c r="AE102" s="64" t="n">
        <f aca="false">IF(AB102,P102,IF(D102,MAX(MIN(P102,X102-MIN(O102,AC102*X102)),0),0))</f>
        <v>0</v>
      </c>
      <c r="AF102" s="64" t="n">
        <f aca="false">IF(OR(AB102,E102),0,MAX(H102-I102-K102-L102,0))</f>
        <v>0</v>
      </c>
      <c r="AG102" s="64" t="n">
        <f aca="false">IF(E102,0,O102-AD102)</f>
        <v>0</v>
      </c>
      <c r="AH102" s="64" t="n">
        <f aca="false">IF(OR(AB102,E102),0,P102-AE102)</f>
        <v>256983.980657201</v>
      </c>
      <c r="AI102" s="64" t="n">
        <f aca="false">IF(D102,R102+AD102,0)</f>
        <v>0</v>
      </c>
      <c r="AJ102" s="65" t="n">
        <f aca="false">(C102-Inputs!$G$6)/365</f>
        <v>22.9095890410959</v>
      </c>
      <c r="AK102" s="29" t="n">
        <f aca="false">AG102/Inputs!$C$10</f>
        <v>0</v>
      </c>
      <c r="AL102" s="5"/>
      <c r="AM102" s="66" t="n">
        <f aca="false">F102</f>
        <v>0.252777777777778</v>
      </c>
      <c r="AN102" s="5"/>
      <c r="AO102" s="5" t="n">
        <f aca="false">AO101+LN(1+($G102+AO$7)*$AM102)</f>
        <v>0.581635292993077</v>
      </c>
      <c r="AP102" s="5" t="n">
        <f aca="false">AP101+LN(1+($G102+AP$7)*$AM102)</f>
        <v>0.583943371469369</v>
      </c>
      <c r="AQ102" s="5" t="n">
        <f aca="false">AQ101+LN(1+($G102+AQ$7)*$AM102)</f>
        <v>0.658081739451358</v>
      </c>
      <c r="AR102" s="5" t="n">
        <f aca="false">AR101+LN(1+($G102+AR$7)*$AM102)</f>
        <v>0.660387896727738</v>
      </c>
      <c r="AS102" s="5" t="n">
        <f aca="false">AS101+LN(1+($G102+AS$7)*$AM102)</f>
        <v>0.658920028477707</v>
      </c>
      <c r="AT102" s="5" t="n">
        <f aca="false">AT101+LN(1+($G102+AT$7)*$AM102)</f>
        <v>0.661226164695669</v>
      </c>
      <c r="AU102" s="5" t="n">
        <f aca="false">AU101+LN(1+($G102+AU$7)*$AM102)</f>
        <v>0.658919849495026</v>
      </c>
      <c r="AV102" s="5" t="n">
        <f aca="false">AV101+LN(1+($G102+AV$7)*$AM102)</f>
        <v>0.661225985717482</v>
      </c>
      <c r="AW102" s="5" t="n">
        <f aca="false">AW101+LN(1+($G102+AW$7)*$AM102)</f>
        <v>0.658919849555052</v>
      </c>
      <c r="AX102" s="5" t="n">
        <f aca="false">AX101+LN(1+($G102+AX$7)*$AM102)</f>
        <v>0.661225985777512</v>
      </c>
      <c r="AY102" s="5" t="n">
        <f aca="false">AY101+LN(1+($G102+AY$7)*$AM102)</f>
        <v>0.658919849555041</v>
      </c>
      <c r="AZ102" s="5" t="n">
        <f aca="false">AZ101+LN(1+($G102+AZ$7)*$AM102)</f>
        <v>0.661225985777491</v>
      </c>
      <c r="BA102" s="5" t="n">
        <f aca="false">BA101+LN(1+($G102+BA$7)*$AM102)</f>
        <v>0.658919849555041</v>
      </c>
      <c r="BB102" s="5" t="n">
        <f aca="false">BB101+LN(1+($G102+BB$7)*$AM102)</f>
        <v>0.661225985777491</v>
      </c>
      <c r="BC102" s="5" t="n">
        <f aca="false">BC101+LN(1+($G102+BC$7)*$AM102)</f>
        <v>0.658919849555041</v>
      </c>
      <c r="BD102" s="5" t="n">
        <f aca="false">BD101+LN(1+($G102+BD$7)*$AM102)</f>
        <v>0.661225985777491</v>
      </c>
      <c r="BE102" s="5" t="n">
        <f aca="false">IF(AB102,O102,IF(D102,MIN(O102,AC102*X102+BF101),0))</f>
        <v>0</v>
      </c>
      <c r="BF102" s="5" t="n">
        <f aca="false">IF(OR(AB102,E102),0,BE102-AD102)</f>
        <v>0</v>
      </c>
      <c r="BG102" s="5" t="n">
        <f aca="false">BG101+LN(1+($G102+BG$7)*$AM102)</f>
        <v>0.635855300495814</v>
      </c>
      <c r="BH102" s="5"/>
      <c r="BI102" s="5" t="n">
        <f aca="false">BI101+LN(1+($G102+BI$7)*$AM102)</f>
        <v>0.681978605243813</v>
      </c>
      <c r="BJ102" s="5"/>
      <c r="BK102" s="62" t="n">
        <f aca="false">C102</f>
        <v>54651</v>
      </c>
      <c r="BL102" s="67" t="n">
        <f aca="false">AI102</f>
        <v>0</v>
      </c>
    </row>
    <row r="103" customFormat="false" ht="15" hidden="false" customHeight="true" outlineLevel="0" collapsed="false">
      <c r="A103" s="3" t="n">
        <v>93</v>
      </c>
      <c r="B103" s="38" t="n">
        <f aca="false">EDATE(Inputs!$C$8,3*(A103-1))</f>
        <v>54742</v>
      </c>
      <c r="C103" s="38" t="n">
        <f aca="false">WORKDAY(B103-1,1)</f>
        <v>54742</v>
      </c>
      <c r="D103" s="61" t="b">
        <f aca="false">C103&lt;=Inputs!$C$9</f>
        <v>1</v>
      </c>
      <c r="E103" s="61" t="b">
        <f aca="false">AND(D103,NOT(D104))</f>
        <v>0</v>
      </c>
      <c r="F103" s="63" t="n">
        <f aca="false">(C103-C102)/360</f>
        <v>0.252777777777778</v>
      </c>
      <c r="G103" s="57" t="n">
        <f aca="false">Curve!D96</f>
        <v>0.02252</v>
      </c>
      <c r="H103" s="64" t="n">
        <f aca="false">AF102</f>
        <v>0</v>
      </c>
      <c r="I103" s="64" t="n">
        <f aca="false">IF(D103,H103*Inputs!$G$22,0)</f>
        <v>0</v>
      </c>
      <c r="J103" s="32" t="n">
        <f aca="false">MAX(Inputs!$G$24-(A103-1),1)</f>
        <v>1</v>
      </c>
      <c r="K103" s="64" t="n">
        <f aca="false">IF(D103,MIN(H103-I103,IF(J103&gt;1,(H103-I103)*Inputs!$G$23/((1+Inputs!$G$23)^J103-1),H103-I103)),0)</f>
        <v>0</v>
      </c>
      <c r="L103" s="64" t="n">
        <f aca="false">IF(D103,(H103-I103-K103)*Inputs!$G$21,0)</f>
        <v>0</v>
      </c>
      <c r="M103" s="64" t="n">
        <f aca="false">IF(A103&gt;Inputs!$G$13,(1-Inputs!$G$12)*INDEX($I$11:$I$190,A103-Inputs!$G$13),0)</f>
        <v>0</v>
      </c>
      <c r="N103" s="64" t="n">
        <f aca="false">IF(D103,(H103-I103)*Inputs!$G$23,0)</f>
        <v>0</v>
      </c>
      <c r="O103" s="64" t="n">
        <f aca="false">AG102</f>
        <v>0</v>
      </c>
      <c r="P103" s="64" t="n">
        <f aca="false">AH102</f>
        <v>256983.980657201</v>
      </c>
      <c r="Q103" s="64" t="n">
        <f aca="false">IF(AND(D103,O103+P103&gt;0),Inputs!$C$25+Inputs!$C$26*H103/4,0)</f>
        <v>100000</v>
      </c>
      <c r="R103" s="64" t="n">
        <f aca="false">O103*IF(Inputs!$G$19="",G103+Inputs!$C$13,MAX(Inputs!$G$19,G103+Inputs!$C$13))*F103</f>
        <v>0</v>
      </c>
      <c r="S103" s="64" t="n">
        <f aca="false">P103*(G103+Inputs!$C$14)*F103</f>
        <v>1921.68151448835</v>
      </c>
      <c r="T103" s="64" t="n">
        <f aca="false">N103+M103-Q103-R103-S103</f>
        <v>-101921.681514488</v>
      </c>
      <c r="U103" s="64" t="n">
        <f aca="false">W102</f>
        <v>260422.420657149</v>
      </c>
      <c r="V103" s="64" t="n">
        <f aca="false">MIN(U103+I103,MAX(T103,0))</f>
        <v>0</v>
      </c>
      <c r="W103" s="64" t="n">
        <f aca="false">U103+I103-V103</f>
        <v>260422.420657149</v>
      </c>
      <c r="X103" s="64" t="n">
        <f aca="false">K103+L103+V103+IF(E103,H103-I103-K103-L103,0)</f>
        <v>0</v>
      </c>
      <c r="Y103" s="61" t="b">
        <f aca="false">AND(Inputs!$C$21=1,O103/Inputs!$C$10&lt;=Inputs!$C$22,Inputs!$G$14&lt;Inputs!$C$23,W103&lt;1)</f>
        <v>0</v>
      </c>
      <c r="Z103" s="61" t="b">
        <f aca="false">OR(AND(Inputs!$G$15=1,H103/Inputs!$C$17&lt;=Inputs!$C$24),AND(Inputs!$G$15=2,C103&gt;=Inputs!$G$16))</f>
        <v>0</v>
      </c>
      <c r="AA103" s="61" t="b">
        <f aca="false">OR(AA102,Z103)</f>
        <v>0</v>
      </c>
      <c r="AB103" s="61" t="b">
        <f aca="false">AND(Z103,NOT(AA102),D103,O103&gt;0)</f>
        <v>0</v>
      </c>
      <c r="AC103" s="63" t="n">
        <f aca="false">IF(AND(Y103,NOT(E103),O103+P103&gt;0),O103/(O103+P103),1)</f>
        <v>1</v>
      </c>
      <c r="AD103" s="64" t="n">
        <f aca="false">IF(AB103,O103,IF(D103,MIN(O103,IF(E103,AC103*X103+BF102,BE103*Inputs!$G$20)),0))</f>
        <v>0</v>
      </c>
      <c r="AE103" s="64" t="n">
        <f aca="false">IF(AB103,P103,IF(D103,MAX(MIN(P103,X103-MIN(O103,AC103*X103)),0),0))</f>
        <v>0</v>
      </c>
      <c r="AF103" s="64" t="n">
        <f aca="false">IF(OR(AB103,E103),0,MAX(H103-I103-K103-L103,0))</f>
        <v>0</v>
      </c>
      <c r="AG103" s="64" t="n">
        <f aca="false">IF(E103,0,O103-AD103)</f>
        <v>0</v>
      </c>
      <c r="AH103" s="64" t="n">
        <f aca="false">IF(OR(AB103,E103),0,P103-AE103)</f>
        <v>256983.980657201</v>
      </c>
      <c r="AI103" s="64" t="n">
        <f aca="false">IF(D103,R103+AD103,0)</f>
        <v>0</v>
      </c>
      <c r="AJ103" s="65" t="n">
        <f aca="false">(C103-Inputs!$G$6)/365</f>
        <v>23.158904109589</v>
      </c>
      <c r="AK103" s="29" t="n">
        <f aca="false">AG103/Inputs!$C$10</f>
        <v>0</v>
      </c>
      <c r="AL103" s="5"/>
      <c r="AM103" s="66" t="n">
        <f aca="false">F103</f>
        <v>0.252777777777778</v>
      </c>
      <c r="AN103" s="5"/>
      <c r="AO103" s="5" t="n">
        <f aca="false">AO102+LN(1+($G103+AO$7)*$AM103)</f>
        <v>0.587964995867907</v>
      </c>
      <c r="AP103" s="5" t="n">
        <f aca="false">AP102+LN(1+($G103+AP$7)*$AM103)</f>
        <v>0.590298192311008</v>
      </c>
      <c r="AQ103" s="5" t="n">
        <f aca="false">AQ102+LN(1+($G103+AQ$7)*$AM103)</f>
        <v>0.665243381131041</v>
      </c>
      <c r="AR103" s="5" t="n">
        <f aca="false">AR102+LN(1+($G103+AR$7)*$AM103)</f>
        <v>0.667574635486569</v>
      </c>
      <c r="AS103" s="5" t="n">
        <f aca="false">AS102+LN(1+($G103+AS$7)*$AM103)</f>
        <v>0.666090792954911</v>
      </c>
      <c r="AT103" s="5" t="n">
        <f aca="false">AT102+LN(1+($G103+AT$7)*$AM103)</f>
        <v>0.66842202602307</v>
      </c>
      <c r="AU103" s="5" t="n">
        <f aca="false">AU102+LN(1+($G103+AU$7)*$AM103)</f>
        <v>0.666090612024425</v>
      </c>
      <c r="AV103" s="5" t="n">
        <f aca="false">AV102+LN(1+($G103+AV$7)*$AM103)</f>
        <v>0.668421845097128</v>
      </c>
      <c r="AW103" s="5" t="n">
        <f aca="false">AW102+LN(1+($G103+AW$7)*$AM103)</f>
        <v>0.666090612085105</v>
      </c>
      <c r="AX103" s="5" t="n">
        <f aca="false">AX102+LN(1+($G103+AX$7)*$AM103)</f>
        <v>0.66842184515781</v>
      </c>
      <c r="AY103" s="5" t="n">
        <f aca="false">AY102+LN(1+($G103+AY$7)*$AM103)</f>
        <v>0.666090612085093</v>
      </c>
      <c r="AZ103" s="5" t="n">
        <f aca="false">AZ102+LN(1+($G103+AZ$7)*$AM103)</f>
        <v>0.66842184515779</v>
      </c>
      <c r="BA103" s="5" t="n">
        <f aca="false">BA102+LN(1+($G103+BA$7)*$AM103)</f>
        <v>0.666090612085093</v>
      </c>
      <c r="BB103" s="5" t="n">
        <f aca="false">BB102+LN(1+($G103+BB$7)*$AM103)</f>
        <v>0.66842184515779</v>
      </c>
      <c r="BC103" s="5" t="n">
        <f aca="false">BC102+LN(1+($G103+BC$7)*$AM103)</f>
        <v>0.666090612085093</v>
      </c>
      <c r="BD103" s="5" t="n">
        <f aca="false">BD102+LN(1+($G103+BD$7)*$AM103)</f>
        <v>0.66842184515779</v>
      </c>
      <c r="BE103" s="5" t="n">
        <f aca="false">IF(AB103,O103,IF(D103,MIN(O103,AC103*X103+BF102),0))</f>
        <v>0</v>
      </c>
      <c r="BF103" s="5" t="n">
        <f aca="false">IF(OR(AB103,E103),0,BE103-AD103)</f>
        <v>0</v>
      </c>
      <c r="BG103" s="5" t="n">
        <f aca="false">BG102+LN(1+($G103+BG$7)*$AM103)</f>
        <v>0.64277505987546</v>
      </c>
      <c r="BH103" s="5"/>
      <c r="BI103" s="5" t="n">
        <f aca="false">BI102+LN(1+($G103+BI$7)*$AM103)</f>
        <v>0.689400307937498</v>
      </c>
      <c r="BJ103" s="5"/>
      <c r="BK103" s="62" t="n">
        <f aca="false">C103</f>
        <v>54742</v>
      </c>
      <c r="BL103" s="67" t="n">
        <f aca="false">AI103</f>
        <v>0</v>
      </c>
    </row>
    <row r="104" customFormat="false" ht="15" hidden="false" customHeight="true" outlineLevel="0" collapsed="false">
      <c r="A104" s="3" t="n">
        <v>94</v>
      </c>
      <c r="B104" s="38" t="n">
        <f aca="false">EDATE(Inputs!$C$8,3*(A104-1))</f>
        <v>54834</v>
      </c>
      <c r="C104" s="38" t="n">
        <f aca="false">WORKDAY(B104-1,1)</f>
        <v>54834</v>
      </c>
      <c r="D104" s="61" t="b">
        <f aca="false">C104&lt;=Inputs!$C$9</f>
        <v>1</v>
      </c>
      <c r="E104" s="61" t="b">
        <f aca="false">AND(D104,NOT(D105))</f>
        <v>0</v>
      </c>
      <c r="F104" s="63" t="n">
        <f aca="false">(C104-C103)/360</f>
        <v>0.255555555555556</v>
      </c>
      <c r="G104" s="57" t="n">
        <f aca="false">Curve!D97</f>
        <v>0.02252</v>
      </c>
      <c r="H104" s="64" t="n">
        <f aca="false">AF103</f>
        <v>0</v>
      </c>
      <c r="I104" s="64" t="n">
        <f aca="false">IF(D104,H104*Inputs!$G$22,0)</f>
        <v>0</v>
      </c>
      <c r="J104" s="32" t="n">
        <f aca="false">MAX(Inputs!$G$24-(A104-1),1)</f>
        <v>1</v>
      </c>
      <c r="K104" s="64" t="n">
        <f aca="false">IF(D104,MIN(H104-I104,IF(J104&gt;1,(H104-I104)*Inputs!$G$23/((1+Inputs!$G$23)^J104-1),H104-I104)),0)</f>
        <v>0</v>
      </c>
      <c r="L104" s="64" t="n">
        <f aca="false">IF(D104,(H104-I104-K104)*Inputs!$G$21,0)</f>
        <v>0</v>
      </c>
      <c r="M104" s="64" t="n">
        <f aca="false">IF(A104&gt;Inputs!$G$13,(1-Inputs!$G$12)*INDEX($I$11:$I$190,A104-Inputs!$G$13),0)</f>
        <v>0</v>
      </c>
      <c r="N104" s="64" t="n">
        <f aca="false">IF(D104,(H104-I104)*Inputs!$G$23,0)</f>
        <v>0</v>
      </c>
      <c r="O104" s="64" t="n">
        <f aca="false">AG103</f>
        <v>0</v>
      </c>
      <c r="P104" s="64" t="n">
        <f aca="false">AH103</f>
        <v>256983.980657201</v>
      </c>
      <c r="Q104" s="64" t="n">
        <f aca="false">IF(AND(D104,O104+P104&gt;0),Inputs!$C$25+Inputs!$C$26*H104/4,0)</f>
        <v>100000</v>
      </c>
      <c r="R104" s="64" t="n">
        <f aca="false">O104*IF(Inputs!$G$19="",G104+Inputs!$C$13,MAX(Inputs!$G$19,G104+Inputs!$C$13))*F104</f>
        <v>0</v>
      </c>
      <c r="S104" s="64" t="n">
        <f aca="false">P104*(G104+Inputs!$C$14)*F104</f>
        <v>1942.79889376844</v>
      </c>
      <c r="T104" s="64" t="n">
        <f aca="false">N104+M104-Q104-R104-S104</f>
        <v>-101942.798893768</v>
      </c>
      <c r="U104" s="64" t="n">
        <f aca="false">W103</f>
        <v>260422.420657149</v>
      </c>
      <c r="V104" s="64" t="n">
        <f aca="false">MIN(U104+I104,MAX(T104,0))</f>
        <v>0</v>
      </c>
      <c r="W104" s="64" t="n">
        <f aca="false">U104+I104-V104</f>
        <v>260422.420657149</v>
      </c>
      <c r="X104" s="64" t="n">
        <f aca="false">K104+L104+V104+IF(E104,H104-I104-K104-L104,0)</f>
        <v>0</v>
      </c>
      <c r="Y104" s="61" t="b">
        <f aca="false">AND(Inputs!$C$21=1,O104/Inputs!$C$10&lt;=Inputs!$C$22,Inputs!$G$14&lt;Inputs!$C$23,W104&lt;1)</f>
        <v>0</v>
      </c>
      <c r="Z104" s="61" t="b">
        <f aca="false">OR(AND(Inputs!$G$15=1,H104/Inputs!$C$17&lt;=Inputs!$C$24),AND(Inputs!$G$15=2,C104&gt;=Inputs!$G$16))</f>
        <v>0</v>
      </c>
      <c r="AA104" s="61" t="b">
        <f aca="false">OR(AA103,Z104)</f>
        <v>0</v>
      </c>
      <c r="AB104" s="61" t="b">
        <f aca="false">AND(Z104,NOT(AA103),D104,O104&gt;0)</f>
        <v>0</v>
      </c>
      <c r="AC104" s="63" t="n">
        <f aca="false">IF(AND(Y104,NOT(E104),O104+P104&gt;0),O104/(O104+P104),1)</f>
        <v>1</v>
      </c>
      <c r="AD104" s="64" t="n">
        <f aca="false">IF(AB104,O104,IF(D104,MIN(O104,IF(E104,AC104*X104+BF103,BE104*Inputs!$G$20)),0))</f>
        <v>0</v>
      </c>
      <c r="AE104" s="64" t="n">
        <f aca="false">IF(AB104,P104,IF(D104,MAX(MIN(P104,X104-MIN(O104,AC104*X104)),0),0))</f>
        <v>0</v>
      </c>
      <c r="AF104" s="64" t="n">
        <f aca="false">IF(OR(AB104,E104),0,MAX(H104-I104-K104-L104,0))</f>
        <v>0</v>
      </c>
      <c r="AG104" s="64" t="n">
        <f aca="false">IF(E104,0,O104-AD104)</f>
        <v>0</v>
      </c>
      <c r="AH104" s="64" t="n">
        <f aca="false">IF(OR(AB104,E104),0,P104-AE104)</f>
        <v>256983.980657201</v>
      </c>
      <c r="AI104" s="64" t="n">
        <f aca="false">IF(D104,R104+AD104,0)</f>
        <v>0</v>
      </c>
      <c r="AJ104" s="65" t="n">
        <f aca="false">(C104-Inputs!$G$6)/365</f>
        <v>23.4109589041096</v>
      </c>
      <c r="AK104" s="29" t="n">
        <f aca="false">AG104/Inputs!$C$10</f>
        <v>0</v>
      </c>
      <c r="AL104" s="5"/>
      <c r="AM104" s="66" t="n">
        <f aca="false">F104</f>
        <v>0.255555555555556</v>
      </c>
      <c r="AN104" s="5"/>
      <c r="AO104" s="5" t="n">
        <f aca="false">AO103+LN(1+($G104+AO$7)*$AM104)</f>
        <v>0.594364033839064</v>
      </c>
      <c r="AP104" s="5" t="n">
        <f aca="false">AP103+LN(1+($G104+AP$7)*$AM104)</f>
        <v>0.596722622506471</v>
      </c>
      <c r="AQ104" s="5" t="n">
        <f aca="false">AQ103+LN(1+($G104+AQ$7)*$AM104)</f>
        <v>0.672483437958521</v>
      </c>
      <c r="AR104" s="5" t="n">
        <f aca="false">AR103+LN(1+($G104+AR$7)*$AM104)</f>
        <v>0.674840063192265</v>
      </c>
      <c r="AS104" s="5" t="n">
        <f aca="false">AS103+LN(1+($G104+AS$7)*$AM104)</f>
        <v>0.673340072106777</v>
      </c>
      <c r="AT104" s="5" t="n">
        <f aca="false">AT103+LN(1+($G104+AT$7)*$AM104)</f>
        <v>0.675696675819177</v>
      </c>
      <c r="AU104" s="5" t="n">
        <f aca="false">AU103+LN(1+($G104+AU$7)*$AM104)</f>
        <v>0.673339889207237</v>
      </c>
      <c r="AV104" s="5" t="n">
        <f aca="false">AV103+LN(1+($G104+AV$7)*$AM104)</f>
        <v>0.675696492924231</v>
      </c>
      <c r="AW104" s="5" t="n">
        <f aca="false">AW103+LN(1+($G104+AW$7)*$AM104)</f>
        <v>0.673339889268577</v>
      </c>
      <c r="AX104" s="5" t="n">
        <f aca="false">AX103+LN(1+($G104+AX$7)*$AM104)</f>
        <v>0.675696492985574</v>
      </c>
      <c r="AY104" s="5" t="n">
        <f aca="false">AY103+LN(1+($G104+AY$7)*$AM104)</f>
        <v>0.673339889268565</v>
      </c>
      <c r="AZ104" s="5" t="n">
        <f aca="false">AZ103+LN(1+($G104+AZ$7)*$AM104)</f>
        <v>0.675696492985553</v>
      </c>
      <c r="BA104" s="5" t="n">
        <f aca="false">BA103+LN(1+($G104+BA$7)*$AM104)</f>
        <v>0.673339889268565</v>
      </c>
      <c r="BB104" s="5" t="n">
        <f aca="false">BB103+LN(1+($G104+BB$7)*$AM104)</f>
        <v>0.675696492985553</v>
      </c>
      <c r="BC104" s="5" t="n">
        <f aca="false">BC103+LN(1+($G104+BC$7)*$AM104)</f>
        <v>0.673339889268565</v>
      </c>
      <c r="BD104" s="5" t="n">
        <f aca="false">BD103+LN(1+($G104+BD$7)*$AM104)</f>
        <v>0.675696492985553</v>
      </c>
      <c r="BE104" s="5" t="n">
        <f aca="false">IF(AB104,O104,IF(D104,MIN(O104,AC104*X104+BF103),0))</f>
        <v>0</v>
      </c>
      <c r="BF104" s="5" t="n">
        <f aca="false">IF(OR(AB104,E104),0,BE104-AD104)</f>
        <v>0</v>
      </c>
      <c r="BG104" s="5" t="n">
        <f aca="false">BG103+LN(1+($G104+BG$7)*$AM104)</f>
        <v>0.649770595207911</v>
      </c>
      <c r="BH104" s="5"/>
      <c r="BI104" s="5" t="n">
        <f aca="false">BI103+LN(1+($G104+BI$7)*$AM104)</f>
        <v>0.696903262603398</v>
      </c>
      <c r="BJ104" s="5"/>
      <c r="BK104" s="62" t="n">
        <f aca="false">C104</f>
        <v>54834</v>
      </c>
      <c r="BL104" s="67" t="n">
        <f aca="false">AI104</f>
        <v>0</v>
      </c>
    </row>
    <row r="105" customFormat="false" ht="15" hidden="false" customHeight="true" outlineLevel="0" collapsed="false">
      <c r="A105" s="3" t="n">
        <v>95</v>
      </c>
      <c r="B105" s="38" t="n">
        <f aca="false">EDATE(Inputs!$C$8,3*(A105-1))</f>
        <v>54923</v>
      </c>
      <c r="C105" s="38" t="n">
        <f aca="false">WORKDAY(B105-1,1)</f>
        <v>54924</v>
      </c>
      <c r="D105" s="61" t="b">
        <f aca="false">C105&lt;=Inputs!$C$9</f>
        <v>1</v>
      </c>
      <c r="E105" s="61" t="b">
        <f aca="false">AND(D105,NOT(D106))</f>
        <v>0</v>
      </c>
      <c r="F105" s="63" t="n">
        <f aca="false">(C105-C104)/360</f>
        <v>0.25</v>
      </c>
      <c r="G105" s="57" t="n">
        <f aca="false">Curve!D98</f>
        <v>0.02252</v>
      </c>
      <c r="H105" s="64" t="n">
        <f aca="false">AF104</f>
        <v>0</v>
      </c>
      <c r="I105" s="64" t="n">
        <f aca="false">IF(D105,H105*Inputs!$G$22,0)</f>
        <v>0</v>
      </c>
      <c r="J105" s="32" t="n">
        <f aca="false">MAX(Inputs!$G$24-(A105-1),1)</f>
        <v>1</v>
      </c>
      <c r="K105" s="64" t="n">
        <f aca="false">IF(D105,MIN(H105-I105,IF(J105&gt;1,(H105-I105)*Inputs!$G$23/((1+Inputs!$G$23)^J105-1),H105-I105)),0)</f>
        <v>0</v>
      </c>
      <c r="L105" s="64" t="n">
        <f aca="false">IF(D105,(H105-I105-K105)*Inputs!$G$21,0)</f>
        <v>0</v>
      </c>
      <c r="M105" s="64" t="n">
        <f aca="false">IF(A105&gt;Inputs!$G$13,(1-Inputs!$G$12)*INDEX($I$11:$I$190,A105-Inputs!$G$13),0)</f>
        <v>0</v>
      </c>
      <c r="N105" s="64" t="n">
        <f aca="false">IF(D105,(H105-I105)*Inputs!$G$23,0)</f>
        <v>0</v>
      </c>
      <c r="O105" s="64" t="n">
        <f aca="false">AG104</f>
        <v>0</v>
      </c>
      <c r="P105" s="64" t="n">
        <f aca="false">AH104</f>
        <v>256983.980657201</v>
      </c>
      <c r="Q105" s="64" t="n">
        <f aca="false">IF(AND(D105,O105+P105&gt;0),Inputs!$C$25+Inputs!$C$26*H105/4,0)</f>
        <v>100000</v>
      </c>
      <c r="R105" s="64" t="n">
        <f aca="false">O105*IF(Inputs!$G$19="",G105+Inputs!$C$13,MAX(Inputs!$G$19,G105+Inputs!$C$13))*F105</f>
        <v>0</v>
      </c>
      <c r="S105" s="64" t="n">
        <f aca="false">P105*(G105+Inputs!$C$14)*F105</f>
        <v>1900.56413520826</v>
      </c>
      <c r="T105" s="64" t="n">
        <f aca="false">N105+M105-Q105-R105-S105</f>
        <v>-101900.564135208</v>
      </c>
      <c r="U105" s="64" t="n">
        <f aca="false">W104</f>
        <v>260422.420657149</v>
      </c>
      <c r="V105" s="64" t="n">
        <f aca="false">MIN(U105+I105,MAX(T105,0))</f>
        <v>0</v>
      </c>
      <c r="W105" s="64" t="n">
        <f aca="false">U105+I105-V105</f>
        <v>260422.420657149</v>
      </c>
      <c r="X105" s="64" t="n">
        <f aca="false">K105+L105+V105+IF(E105,H105-I105-K105-L105,0)</f>
        <v>0</v>
      </c>
      <c r="Y105" s="61" t="b">
        <f aca="false">AND(Inputs!$C$21=1,O105/Inputs!$C$10&lt;=Inputs!$C$22,Inputs!$G$14&lt;Inputs!$C$23,W105&lt;1)</f>
        <v>0</v>
      </c>
      <c r="Z105" s="61" t="b">
        <f aca="false">OR(AND(Inputs!$G$15=1,H105/Inputs!$C$17&lt;=Inputs!$C$24),AND(Inputs!$G$15=2,C105&gt;=Inputs!$G$16))</f>
        <v>0</v>
      </c>
      <c r="AA105" s="61" t="b">
        <f aca="false">OR(AA104,Z105)</f>
        <v>0</v>
      </c>
      <c r="AB105" s="61" t="b">
        <f aca="false">AND(Z105,NOT(AA104),D105,O105&gt;0)</f>
        <v>0</v>
      </c>
      <c r="AC105" s="63" t="n">
        <f aca="false">IF(AND(Y105,NOT(E105),O105+P105&gt;0),O105/(O105+P105),1)</f>
        <v>1</v>
      </c>
      <c r="AD105" s="64" t="n">
        <f aca="false">IF(AB105,O105,IF(D105,MIN(O105,IF(E105,AC105*X105+BF104,BE105*Inputs!$G$20)),0))</f>
        <v>0</v>
      </c>
      <c r="AE105" s="64" t="n">
        <f aca="false">IF(AB105,P105,IF(D105,MAX(MIN(P105,X105-MIN(O105,AC105*X105)),0),0))</f>
        <v>0</v>
      </c>
      <c r="AF105" s="64" t="n">
        <f aca="false">IF(OR(AB105,E105),0,MAX(H105-I105-K105-L105,0))</f>
        <v>0</v>
      </c>
      <c r="AG105" s="64" t="n">
        <f aca="false">IF(E105,0,O105-AD105)</f>
        <v>0</v>
      </c>
      <c r="AH105" s="64" t="n">
        <f aca="false">IF(OR(AB105,E105),0,P105-AE105)</f>
        <v>256983.980657201</v>
      </c>
      <c r="AI105" s="64" t="n">
        <f aca="false">IF(D105,R105+AD105,0)</f>
        <v>0</v>
      </c>
      <c r="AJ105" s="65" t="n">
        <f aca="false">(C105-Inputs!$G$6)/365</f>
        <v>23.6575342465753</v>
      </c>
      <c r="AK105" s="29" t="n">
        <f aca="false">AG105/Inputs!$C$10</f>
        <v>0</v>
      </c>
      <c r="AL105" s="5"/>
      <c r="AM105" s="66" t="n">
        <f aca="false">F105</f>
        <v>0.25</v>
      </c>
      <c r="AN105" s="5"/>
      <c r="AO105" s="5" t="n">
        <f aca="false">AO104+LN(1+($G105+AO$7)*$AM105)</f>
        <v>0.600624396809878</v>
      </c>
      <c r="AP105" s="5" t="n">
        <f aca="false">AP104+LN(1+($G105+AP$7)*$AM105)</f>
        <v>0.603007829148485</v>
      </c>
      <c r="AQ105" s="5" t="n">
        <f aca="false">AQ104+LN(1+($G105+AQ$7)*$AM105)</f>
        <v>0.679566658340988</v>
      </c>
      <c r="AR105" s="5" t="n">
        <f aca="false">AR104+LN(1+($G105+AR$7)*$AM105)</f>
        <v>0.681948106811795</v>
      </c>
      <c r="AS105" s="5" t="n">
        <f aca="false">AS104+LN(1+($G105+AS$7)*$AM105)</f>
        <v>0.680432315744279</v>
      </c>
      <c r="AT105" s="5" t="n">
        <f aca="false">AT104+LN(1+($G105+AT$7)*$AM105)</f>
        <v>0.682813742469759</v>
      </c>
      <c r="AU105" s="5" t="n">
        <f aca="false">AU104+LN(1+($G105+AU$7)*$AM105)</f>
        <v>0.680432130918189</v>
      </c>
      <c r="AV105" s="5" t="n">
        <f aca="false">AV104+LN(1+($G105+AV$7)*$AM105)</f>
        <v>0.682813557648311</v>
      </c>
      <c r="AW105" s="5" t="n">
        <f aca="false">AW104+LN(1+($G105+AW$7)*$AM105)</f>
        <v>0.680432130980175</v>
      </c>
      <c r="AX105" s="5" t="n">
        <f aca="false">AX104+LN(1+($G105+AX$7)*$AM105)</f>
        <v>0.682813557710299</v>
      </c>
      <c r="AY105" s="5" t="n">
        <f aca="false">AY104+LN(1+($G105+AY$7)*$AM105)</f>
        <v>0.680432130980162</v>
      </c>
      <c r="AZ105" s="5" t="n">
        <f aca="false">AZ104+LN(1+($G105+AZ$7)*$AM105)</f>
        <v>0.682813557710278</v>
      </c>
      <c r="BA105" s="5" t="n">
        <f aca="false">BA104+LN(1+($G105+BA$7)*$AM105)</f>
        <v>0.680432130980162</v>
      </c>
      <c r="BB105" s="5" t="n">
        <f aca="false">BB104+LN(1+($G105+BB$7)*$AM105)</f>
        <v>0.682813557710278</v>
      </c>
      <c r="BC105" s="5" t="n">
        <f aca="false">BC104+LN(1+($G105+BC$7)*$AM105)</f>
        <v>0.680432130980162</v>
      </c>
      <c r="BD105" s="5" t="n">
        <f aca="false">BD104+LN(1+($G105+BD$7)*$AM105)</f>
        <v>0.682813557710278</v>
      </c>
      <c r="BE105" s="5" t="n">
        <f aca="false">IF(AB105,O105,IF(D105,MIN(O105,AC105*X105+BF104),0))</f>
        <v>0</v>
      </c>
      <c r="BF105" s="5" t="n">
        <f aca="false">IF(OR(AB105,E105),0,BE105-AD105)</f>
        <v>0</v>
      </c>
      <c r="BG105" s="5" t="n">
        <f aca="false">BG104+LN(1+($G105+BG$7)*$AM105)</f>
        <v>0.656614572892324</v>
      </c>
      <c r="BH105" s="5"/>
      <c r="BI105" s="5" t="n">
        <f aca="false">BI104+LN(1+($G105+BI$7)*$AM105)</f>
        <v>0.70424370672245</v>
      </c>
      <c r="BJ105" s="5"/>
      <c r="BK105" s="62" t="n">
        <f aca="false">C105</f>
        <v>54924</v>
      </c>
      <c r="BL105" s="67" t="n">
        <f aca="false">AI105</f>
        <v>0</v>
      </c>
    </row>
    <row r="106" customFormat="false" ht="15" hidden="false" customHeight="true" outlineLevel="0" collapsed="false">
      <c r="A106" s="3" t="n">
        <v>96</v>
      </c>
      <c r="B106" s="38" t="n">
        <f aca="false">EDATE(Inputs!$C$8,3*(A106-1))</f>
        <v>55015</v>
      </c>
      <c r="C106" s="38" t="n">
        <f aca="false">WORKDAY(B106-1,1)</f>
        <v>55015</v>
      </c>
      <c r="D106" s="61" t="b">
        <f aca="false">C106&lt;=Inputs!$C$9</f>
        <v>1</v>
      </c>
      <c r="E106" s="61" t="b">
        <f aca="false">AND(D106,NOT(D107))</f>
        <v>0</v>
      </c>
      <c r="F106" s="63" t="n">
        <f aca="false">(C106-C105)/360</f>
        <v>0.252777777777778</v>
      </c>
      <c r="G106" s="57" t="n">
        <f aca="false">Curve!D99</f>
        <v>0.02252</v>
      </c>
      <c r="H106" s="64" t="n">
        <f aca="false">AF105</f>
        <v>0</v>
      </c>
      <c r="I106" s="64" t="n">
        <f aca="false">IF(D106,H106*Inputs!$G$22,0)</f>
        <v>0</v>
      </c>
      <c r="J106" s="32" t="n">
        <f aca="false">MAX(Inputs!$G$24-(A106-1),1)</f>
        <v>1</v>
      </c>
      <c r="K106" s="64" t="n">
        <f aca="false">IF(D106,MIN(H106-I106,IF(J106&gt;1,(H106-I106)*Inputs!$G$23/((1+Inputs!$G$23)^J106-1),H106-I106)),0)</f>
        <v>0</v>
      </c>
      <c r="L106" s="64" t="n">
        <f aca="false">IF(D106,(H106-I106-K106)*Inputs!$G$21,0)</f>
        <v>0</v>
      </c>
      <c r="M106" s="64" t="n">
        <f aca="false">IF(A106&gt;Inputs!$G$13,(1-Inputs!$G$12)*INDEX($I$11:$I$190,A106-Inputs!$G$13),0)</f>
        <v>0</v>
      </c>
      <c r="N106" s="64" t="n">
        <f aca="false">IF(D106,(H106-I106)*Inputs!$G$23,0)</f>
        <v>0</v>
      </c>
      <c r="O106" s="64" t="n">
        <f aca="false">AG105</f>
        <v>0</v>
      </c>
      <c r="P106" s="64" t="n">
        <f aca="false">AH105</f>
        <v>256983.980657201</v>
      </c>
      <c r="Q106" s="64" t="n">
        <f aca="false">IF(AND(D106,O106+P106&gt;0),Inputs!$C$25+Inputs!$C$26*H106/4,0)</f>
        <v>100000</v>
      </c>
      <c r="R106" s="64" t="n">
        <f aca="false">O106*IF(Inputs!$G$19="",G106+Inputs!$C$13,MAX(Inputs!$G$19,G106+Inputs!$C$13))*F106</f>
        <v>0</v>
      </c>
      <c r="S106" s="64" t="n">
        <f aca="false">P106*(G106+Inputs!$C$14)*F106</f>
        <v>1921.68151448835</v>
      </c>
      <c r="T106" s="64" t="n">
        <f aca="false">N106+M106-Q106-R106-S106</f>
        <v>-101921.681514488</v>
      </c>
      <c r="U106" s="64" t="n">
        <f aca="false">W105</f>
        <v>260422.420657149</v>
      </c>
      <c r="V106" s="64" t="n">
        <f aca="false">MIN(U106+I106,MAX(T106,0))</f>
        <v>0</v>
      </c>
      <c r="W106" s="64" t="n">
        <f aca="false">U106+I106-V106</f>
        <v>260422.420657149</v>
      </c>
      <c r="X106" s="64" t="n">
        <f aca="false">K106+L106+V106+IF(E106,H106-I106-K106-L106,0)</f>
        <v>0</v>
      </c>
      <c r="Y106" s="61" t="b">
        <f aca="false">AND(Inputs!$C$21=1,O106/Inputs!$C$10&lt;=Inputs!$C$22,Inputs!$G$14&lt;Inputs!$C$23,W106&lt;1)</f>
        <v>0</v>
      </c>
      <c r="Z106" s="61" t="b">
        <f aca="false">OR(AND(Inputs!$G$15=1,H106/Inputs!$C$17&lt;=Inputs!$C$24),AND(Inputs!$G$15=2,C106&gt;=Inputs!$G$16))</f>
        <v>0</v>
      </c>
      <c r="AA106" s="61" t="b">
        <f aca="false">OR(AA105,Z106)</f>
        <v>0</v>
      </c>
      <c r="AB106" s="61" t="b">
        <f aca="false">AND(Z106,NOT(AA105),D106,O106&gt;0)</f>
        <v>0</v>
      </c>
      <c r="AC106" s="63" t="n">
        <f aca="false">IF(AND(Y106,NOT(E106),O106+P106&gt;0),O106/(O106+P106),1)</f>
        <v>1</v>
      </c>
      <c r="AD106" s="64" t="n">
        <f aca="false">IF(AB106,O106,IF(D106,MIN(O106,IF(E106,AC106*X106+BF105,BE106*Inputs!$G$20)),0))</f>
        <v>0</v>
      </c>
      <c r="AE106" s="64" t="n">
        <f aca="false">IF(AB106,P106,IF(D106,MAX(MIN(P106,X106-MIN(O106,AC106*X106)),0),0))</f>
        <v>0</v>
      </c>
      <c r="AF106" s="64" t="n">
        <f aca="false">IF(OR(AB106,E106),0,MAX(H106-I106-K106-L106,0))</f>
        <v>0</v>
      </c>
      <c r="AG106" s="64" t="n">
        <f aca="false">IF(E106,0,O106-AD106)</f>
        <v>0</v>
      </c>
      <c r="AH106" s="64" t="n">
        <f aca="false">IF(OR(AB106,E106),0,P106-AE106)</f>
        <v>256983.980657201</v>
      </c>
      <c r="AI106" s="64" t="n">
        <f aca="false">IF(D106,R106+AD106,0)</f>
        <v>0</v>
      </c>
      <c r="AJ106" s="65" t="n">
        <f aca="false">(C106-Inputs!$G$6)/365</f>
        <v>23.9068493150685</v>
      </c>
      <c r="AK106" s="29" t="n">
        <f aca="false">AG106/Inputs!$C$10</f>
        <v>0</v>
      </c>
      <c r="AL106" s="5"/>
      <c r="AM106" s="66" t="n">
        <f aca="false">F106</f>
        <v>0.252777777777778</v>
      </c>
      <c r="AN106" s="5"/>
      <c r="AO106" s="5" t="n">
        <f aca="false">AO105+LN(1+($G106+AO$7)*$AM106)</f>
        <v>0.606954099684708</v>
      </c>
      <c r="AP106" s="5" t="n">
        <f aca="false">AP105+LN(1+($G106+AP$7)*$AM106)</f>
        <v>0.609362649990124</v>
      </c>
      <c r="AQ106" s="5" t="n">
        <f aca="false">AQ105+LN(1+($G106+AQ$7)*$AM106)</f>
        <v>0.686728300020671</v>
      </c>
      <c r="AR106" s="5" t="n">
        <f aca="false">AR105+LN(1+($G106+AR$7)*$AM106)</f>
        <v>0.689134845570627</v>
      </c>
      <c r="AS106" s="5" t="n">
        <f aca="false">AS105+LN(1+($G106+AS$7)*$AM106)</f>
        <v>0.687603080221482</v>
      </c>
      <c r="AT106" s="5" t="n">
        <f aca="false">AT105+LN(1+($G106+AT$7)*$AM106)</f>
        <v>0.69000960379716</v>
      </c>
      <c r="AU106" s="5" t="n">
        <f aca="false">AU105+LN(1+($G106+AU$7)*$AM106)</f>
        <v>0.687602893447588</v>
      </c>
      <c r="AV106" s="5" t="n">
        <f aca="false">AV105+LN(1+($G106+AV$7)*$AM106)</f>
        <v>0.690009417027956</v>
      </c>
      <c r="AW106" s="5" t="n">
        <f aca="false">AW105+LN(1+($G106+AW$7)*$AM106)</f>
        <v>0.687602893510227</v>
      </c>
      <c r="AX106" s="5" t="n">
        <f aca="false">AX105+LN(1+($G106+AX$7)*$AM106)</f>
        <v>0.690009417090598</v>
      </c>
      <c r="AY106" s="5" t="n">
        <f aca="false">AY105+LN(1+($G106+AY$7)*$AM106)</f>
        <v>0.687602893510215</v>
      </c>
      <c r="AZ106" s="5" t="n">
        <f aca="false">AZ105+LN(1+($G106+AZ$7)*$AM106)</f>
        <v>0.690009417090577</v>
      </c>
      <c r="BA106" s="5" t="n">
        <f aca="false">BA105+LN(1+($G106+BA$7)*$AM106)</f>
        <v>0.687602893510215</v>
      </c>
      <c r="BB106" s="5" t="n">
        <f aca="false">BB105+LN(1+($G106+BB$7)*$AM106)</f>
        <v>0.690009417090577</v>
      </c>
      <c r="BC106" s="5" t="n">
        <f aca="false">BC105+LN(1+($G106+BC$7)*$AM106)</f>
        <v>0.687602893510215</v>
      </c>
      <c r="BD106" s="5" t="n">
        <f aca="false">BD105+LN(1+($G106+BD$7)*$AM106)</f>
        <v>0.690009417090577</v>
      </c>
      <c r="BE106" s="5" t="n">
        <f aca="false">IF(AB106,O106,IF(D106,MIN(O106,AC106*X106+BF105),0))</f>
        <v>0</v>
      </c>
      <c r="BF106" s="5" t="n">
        <f aca="false">IF(OR(AB106,E106),0,BE106-AD106)</f>
        <v>0</v>
      </c>
      <c r="BG106" s="5" t="n">
        <f aca="false">BG105+LN(1+($G106+BG$7)*$AM106)</f>
        <v>0.663534332271971</v>
      </c>
      <c r="BH106" s="5"/>
      <c r="BI106" s="5" t="n">
        <f aca="false">BI105+LN(1+($G106+BI$7)*$AM106)</f>
        <v>0.711665409416136</v>
      </c>
      <c r="BJ106" s="5"/>
      <c r="BK106" s="62" t="n">
        <f aca="false">C106</f>
        <v>55015</v>
      </c>
      <c r="BL106" s="67" t="n">
        <f aca="false">AI106</f>
        <v>0</v>
      </c>
    </row>
    <row r="107" customFormat="false" ht="15" hidden="false" customHeight="true" outlineLevel="0" collapsed="false">
      <c r="A107" s="3" t="n">
        <v>97</v>
      </c>
      <c r="B107" s="38" t="n">
        <f aca="false">EDATE(Inputs!$C$8,3*(A107-1))</f>
        <v>55107</v>
      </c>
      <c r="C107" s="38" t="n">
        <f aca="false">WORKDAY(B107-1,1)</f>
        <v>55107</v>
      </c>
      <c r="D107" s="61" t="b">
        <f aca="false">C107&lt;=Inputs!$C$9</f>
        <v>1</v>
      </c>
      <c r="E107" s="61" t="b">
        <f aca="false">AND(D107,NOT(D108))</f>
        <v>0</v>
      </c>
      <c r="F107" s="63" t="n">
        <f aca="false">(C107-C106)/360</f>
        <v>0.255555555555556</v>
      </c>
      <c r="G107" s="57" t="n">
        <f aca="false">Curve!D100</f>
        <v>0.02252</v>
      </c>
      <c r="H107" s="64" t="n">
        <f aca="false">AF106</f>
        <v>0</v>
      </c>
      <c r="I107" s="64" t="n">
        <f aca="false">IF(D107,H107*Inputs!$G$22,0)</f>
        <v>0</v>
      </c>
      <c r="J107" s="32" t="n">
        <f aca="false">MAX(Inputs!$G$24-(A107-1),1)</f>
        <v>1</v>
      </c>
      <c r="K107" s="64" t="n">
        <f aca="false">IF(D107,MIN(H107-I107,IF(J107&gt;1,(H107-I107)*Inputs!$G$23/((1+Inputs!$G$23)^J107-1),H107-I107)),0)</f>
        <v>0</v>
      </c>
      <c r="L107" s="64" t="n">
        <f aca="false">IF(D107,(H107-I107-K107)*Inputs!$G$21,0)</f>
        <v>0</v>
      </c>
      <c r="M107" s="64" t="n">
        <f aca="false">IF(A107&gt;Inputs!$G$13,(1-Inputs!$G$12)*INDEX($I$11:$I$190,A107-Inputs!$G$13),0)</f>
        <v>0</v>
      </c>
      <c r="N107" s="64" t="n">
        <f aca="false">IF(D107,(H107-I107)*Inputs!$G$23,0)</f>
        <v>0</v>
      </c>
      <c r="O107" s="64" t="n">
        <f aca="false">AG106</f>
        <v>0</v>
      </c>
      <c r="P107" s="64" t="n">
        <f aca="false">AH106</f>
        <v>256983.980657201</v>
      </c>
      <c r="Q107" s="64" t="n">
        <f aca="false">IF(AND(D107,O107+P107&gt;0),Inputs!$C$25+Inputs!$C$26*H107/4,0)</f>
        <v>100000</v>
      </c>
      <c r="R107" s="64" t="n">
        <f aca="false">O107*IF(Inputs!$G$19="",G107+Inputs!$C$13,MAX(Inputs!$G$19,G107+Inputs!$C$13))*F107</f>
        <v>0</v>
      </c>
      <c r="S107" s="64" t="n">
        <f aca="false">P107*(G107+Inputs!$C$14)*F107</f>
        <v>1942.79889376844</v>
      </c>
      <c r="T107" s="64" t="n">
        <f aca="false">N107+M107-Q107-R107-S107</f>
        <v>-101942.798893768</v>
      </c>
      <c r="U107" s="64" t="n">
        <f aca="false">W106</f>
        <v>260422.420657149</v>
      </c>
      <c r="V107" s="64" t="n">
        <f aca="false">MIN(U107+I107,MAX(T107,0))</f>
        <v>0</v>
      </c>
      <c r="W107" s="64" t="n">
        <f aca="false">U107+I107-V107</f>
        <v>260422.420657149</v>
      </c>
      <c r="X107" s="64" t="n">
        <f aca="false">K107+L107+V107+IF(E107,H107-I107-K107-L107,0)</f>
        <v>0</v>
      </c>
      <c r="Y107" s="61" t="b">
        <f aca="false">AND(Inputs!$C$21=1,O107/Inputs!$C$10&lt;=Inputs!$C$22,Inputs!$G$14&lt;Inputs!$C$23,W107&lt;1)</f>
        <v>0</v>
      </c>
      <c r="Z107" s="61" t="b">
        <f aca="false">OR(AND(Inputs!$G$15=1,H107/Inputs!$C$17&lt;=Inputs!$C$24),AND(Inputs!$G$15=2,C107&gt;=Inputs!$G$16))</f>
        <v>0</v>
      </c>
      <c r="AA107" s="61" t="b">
        <f aca="false">OR(AA106,Z107)</f>
        <v>0</v>
      </c>
      <c r="AB107" s="61" t="b">
        <f aca="false">AND(Z107,NOT(AA106),D107,O107&gt;0)</f>
        <v>0</v>
      </c>
      <c r="AC107" s="63" t="n">
        <f aca="false">IF(AND(Y107,NOT(E107),O107+P107&gt;0),O107/(O107+P107),1)</f>
        <v>1</v>
      </c>
      <c r="AD107" s="64" t="n">
        <f aca="false">IF(AB107,O107,IF(D107,MIN(O107,IF(E107,AC107*X107+BF106,BE107*Inputs!$G$20)),0))</f>
        <v>0</v>
      </c>
      <c r="AE107" s="64" t="n">
        <f aca="false">IF(AB107,P107,IF(D107,MAX(MIN(P107,X107-MIN(O107,AC107*X107)),0),0))</f>
        <v>0</v>
      </c>
      <c r="AF107" s="64" t="n">
        <f aca="false">IF(OR(AB107,E107),0,MAX(H107-I107-K107-L107,0))</f>
        <v>0</v>
      </c>
      <c r="AG107" s="64" t="n">
        <f aca="false">IF(E107,0,O107-AD107)</f>
        <v>0</v>
      </c>
      <c r="AH107" s="64" t="n">
        <f aca="false">IF(OR(AB107,E107),0,P107-AE107)</f>
        <v>256983.980657201</v>
      </c>
      <c r="AI107" s="64" t="n">
        <f aca="false">IF(D107,R107+AD107,0)</f>
        <v>0</v>
      </c>
      <c r="AJ107" s="65" t="n">
        <f aca="false">(C107-Inputs!$G$6)/365</f>
        <v>24.158904109589</v>
      </c>
      <c r="AK107" s="29" t="n">
        <f aca="false">AG107/Inputs!$C$10</f>
        <v>0</v>
      </c>
      <c r="AL107" s="5"/>
      <c r="AM107" s="66" t="n">
        <f aca="false">F107</f>
        <v>0.255555555555556</v>
      </c>
      <c r="AN107" s="5"/>
      <c r="AO107" s="5" t="n">
        <f aca="false">AO106+LN(1+($G107+AO$7)*$AM107)</f>
        <v>0.613353137655866</v>
      </c>
      <c r="AP107" s="5" t="n">
        <f aca="false">AP106+LN(1+($G107+AP$7)*$AM107)</f>
        <v>0.615787080185588</v>
      </c>
      <c r="AQ107" s="5" t="n">
        <f aca="false">AQ106+LN(1+($G107+AQ$7)*$AM107)</f>
        <v>0.693968356848152</v>
      </c>
      <c r="AR107" s="5" t="n">
        <f aca="false">AR106+LN(1+($G107+AR$7)*$AM107)</f>
        <v>0.696400273276323</v>
      </c>
      <c r="AS107" s="5" t="n">
        <f aca="false">AS106+LN(1+($G107+AS$7)*$AM107)</f>
        <v>0.694852359373348</v>
      </c>
      <c r="AT107" s="5" t="n">
        <f aca="false">AT106+LN(1+($G107+AT$7)*$AM107)</f>
        <v>0.697284253593267</v>
      </c>
      <c r="AU107" s="5" t="n">
        <f aca="false">AU106+LN(1+($G107+AU$7)*$AM107)</f>
        <v>0.6948521706304</v>
      </c>
      <c r="AV107" s="5" t="n">
        <f aca="false">AV106+LN(1+($G107+AV$7)*$AM107)</f>
        <v>0.697284064855059</v>
      </c>
      <c r="AW107" s="5" t="n">
        <f aca="false">AW106+LN(1+($G107+AW$7)*$AM107)</f>
        <v>0.6948521706937</v>
      </c>
      <c r="AX107" s="5" t="n">
        <f aca="false">AX106+LN(1+($G107+AX$7)*$AM107)</f>
        <v>0.697284064918362</v>
      </c>
      <c r="AY107" s="5" t="n">
        <f aca="false">AY106+LN(1+($G107+AY$7)*$AM107)</f>
        <v>0.694852170693687</v>
      </c>
      <c r="AZ107" s="5" t="n">
        <f aca="false">AZ106+LN(1+($G107+AZ$7)*$AM107)</f>
        <v>0.69728406491834</v>
      </c>
      <c r="BA107" s="5" t="n">
        <f aca="false">BA106+LN(1+($G107+BA$7)*$AM107)</f>
        <v>0.694852170693687</v>
      </c>
      <c r="BB107" s="5" t="n">
        <f aca="false">BB106+LN(1+($G107+BB$7)*$AM107)</f>
        <v>0.69728406491834</v>
      </c>
      <c r="BC107" s="5" t="n">
        <f aca="false">BC106+LN(1+($G107+BC$7)*$AM107)</f>
        <v>0.694852170693687</v>
      </c>
      <c r="BD107" s="5" t="n">
        <f aca="false">BD106+LN(1+($G107+BD$7)*$AM107)</f>
        <v>0.69728406491834</v>
      </c>
      <c r="BE107" s="5" t="n">
        <f aca="false">IF(AB107,O107,IF(D107,MIN(O107,AC107*X107+BF106),0))</f>
        <v>0</v>
      </c>
      <c r="BF107" s="5" t="n">
        <f aca="false">IF(OR(AB107,E107),0,BE107-AD107)</f>
        <v>0</v>
      </c>
      <c r="BG107" s="5" t="n">
        <f aca="false">BG106+LN(1+($G107+BG$7)*$AM107)</f>
        <v>0.670529867604422</v>
      </c>
      <c r="BH107" s="5"/>
      <c r="BI107" s="5" t="n">
        <f aca="false">BI106+LN(1+($G107+BI$7)*$AM107)</f>
        <v>0.719168364082036</v>
      </c>
      <c r="BJ107" s="5"/>
      <c r="BK107" s="62" t="n">
        <f aca="false">C107</f>
        <v>55107</v>
      </c>
      <c r="BL107" s="67" t="n">
        <f aca="false">AI107</f>
        <v>0</v>
      </c>
    </row>
    <row r="108" customFormat="false" ht="15" hidden="false" customHeight="true" outlineLevel="0" collapsed="false">
      <c r="A108" s="3" t="n">
        <v>98</v>
      </c>
      <c r="B108" s="38" t="n">
        <f aca="false">EDATE(Inputs!$C$8,3*(A108-1))</f>
        <v>55199</v>
      </c>
      <c r="C108" s="38" t="n">
        <f aca="false">WORKDAY(B108-1,1)</f>
        <v>55199</v>
      </c>
      <c r="D108" s="61" t="b">
        <f aca="false">C108&lt;=Inputs!$C$9</f>
        <v>1</v>
      </c>
      <c r="E108" s="61" t="b">
        <f aca="false">AND(D108,NOT(D109))</f>
        <v>0</v>
      </c>
      <c r="F108" s="63" t="n">
        <f aca="false">(C108-C107)/360</f>
        <v>0.255555555555556</v>
      </c>
      <c r="G108" s="57" t="n">
        <f aca="false">Curve!D101</f>
        <v>0.02252</v>
      </c>
      <c r="H108" s="64" t="n">
        <f aca="false">AF107</f>
        <v>0</v>
      </c>
      <c r="I108" s="64" t="n">
        <f aca="false">IF(D108,H108*Inputs!$G$22,0)</f>
        <v>0</v>
      </c>
      <c r="J108" s="32" t="n">
        <f aca="false">MAX(Inputs!$G$24-(A108-1),1)</f>
        <v>1</v>
      </c>
      <c r="K108" s="64" t="n">
        <f aca="false">IF(D108,MIN(H108-I108,IF(J108&gt;1,(H108-I108)*Inputs!$G$23/((1+Inputs!$G$23)^J108-1),H108-I108)),0)</f>
        <v>0</v>
      </c>
      <c r="L108" s="64" t="n">
        <f aca="false">IF(D108,(H108-I108-K108)*Inputs!$G$21,0)</f>
        <v>0</v>
      </c>
      <c r="M108" s="64" t="n">
        <f aca="false">IF(A108&gt;Inputs!$G$13,(1-Inputs!$G$12)*INDEX($I$11:$I$190,A108-Inputs!$G$13),0)</f>
        <v>0</v>
      </c>
      <c r="N108" s="64" t="n">
        <f aca="false">IF(D108,(H108-I108)*Inputs!$G$23,0)</f>
        <v>0</v>
      </c>
      <c r="O108" s="64" t="n">
        <f aca="false">AG107</f>
        <v>0</v>
      </c>
      <c r="P108" s="64" t="n">
        <f aca="false">AH107</f>
        <v>256983.980657201</v>
      </c>
      <c r="Q108" s="64" t="n">
        <f aca="false">IF(AND(D108,O108+P108&gt;0),Inputs!$C$25+Inputs!$C$26*H108/4,0)</f>
        <v>100000</v>
      </c>
      <c r="R108" s="64" t="n">
        <f aca="false">O108*IF(Inputs!$G$19="",G108+Inputs!$C$13,MAX(Inputs!$G$19,G108+Inputs!$C$13))*F108</f>
        <v>0</v>
      </c>
      <c r="S108" s="64" t="n">
        <f aca="false">P108*(G108+Inputs!$C$14)*F108</f>
        <v>1942.79889376844</v>
      </c>
      <c r="T108" s="64" t="n">
        <f aca="false">N108+M108-Q108-R108-S108</f>
        <v>-101942.798893768</v>
      </c>
      <c r="U108" s="64" t="n">
        <f aca="false">W107</f>
        <v>260422.420657149</v>
      </c>
      <c r="V108" s="64" t="n">
        <f aca="false">MIN(U108+I108,MAX(T108,0))</f>
        <v>0</v>
      </c>
      <c r="W108" s="64" t="n">
        <f aca="false">U108+I108-V108</f>
        <v>260422.420657149</v>
      </c>
      <c r="X108" s="64" t="n">
        <f aca="false">K108+L108+V108+IF(E108,H108-I108-K108-L108,0)</f>
        <v>0</v>
      </c>
      <c r="Y108" s="61" t="b">
        <f aca="false">AND(Inputs!$C$21=1,O108/Inputs!$C$10&lt;=Inputs!$C$22,Inputs!$G$14&lt;Inputs!$C$23,W108&lt;1)</f>
        <v>0</v>
      </c>
      <c r="Z108" s="61" t="b">
        <f aca="false">OR(AND(Inputs!$G$15=1,H108/Inputs!$C$17&lt;=Inputs!$C$24),AND(Inputs!$G$15=2,C108&gt;=Inputs!$G$16))</f>
        <v>0</v>
      </c>
      <c r="AA108" s="61" t="b">
        <f aca="false">OR(AA107,Z108)</f>
        <v>0</v>
      </c>
      <c r="AB108" s="61" t="b">
        <f aca="false">AND(Z108,NOT(AA107),D108,O108&gt;0)</f>
        <v>0</v>
      </c>
      <c r="AC108" s="63" t="n">
        <f aca="false">IF(AND(Y108,NOT(E108),O108+P108&gt;0),O108/(O108+P108),1)</f>
        <v>1</v>
      </c>
      <c r="AD108" s="64" t="n">
        <f aca="false">IF(AB108,O108,IF(D108,MIN(O108,IF(E108,AC108*X108+BF107,BE108*Inputs!$G$20)),0))</f>
        <v>0</v>
      </c>
      <c r="AE108" s="64" t="n">
        <f aca="false">IF(AB108,P108,IF(D108,MAX(MIN(P108,X108-MIN(O108,AC108*X108)),0),0))</f>
        <v>0</v>
      </c>
      <c r="AF108" s="64" t="n">
        <f aca="false">IF(OR(AB108,E108),0,MAX(H108-I108-K108-L108,0))</f>
        <v>0</v>
      </c>
      <c r="AG108" s="64" t="n">
        <f aca="false">IF(E108,0,O108-AD108)</f>
        <v>0</v>
      </c>
      <c r="AH108" s="64" t="n">
        <f aca="false">IF(OR(AB108,E108),0,P108-AE108)</f>
        <v>256983.980657201</v>
      </c>
      <c r="AI108" s="64" t="n">
        <f aca="false">IF(D108,R108+AD108,0)</f>
        <v>0</v>
      </c>
      <c r="AJ108" s="65" t="n">
        <f aca="false">(C108-Inputs!$G$6)/365</f>
        <v>24.4109589041096</v>
      </c>
      <c r="AK108" s="29" t="n">
        <f aca="false">AG108/Inputs!$C$10</f>
        <v>0</v>
      </c>
      <c r="AL108" s="5"/>
      <c r="AM108" s="66" t="n">
        <f aca="false">F108</f>
        <v>0.255555555555556</v>
      </c>
      <c r="AN108" s="5"/>
      <c r="AO108" s="5" t="n">
        <f aca="false">AO107+LN(1+($G108+AO$7)*$AM108)</f>
        <v>0.619752175627023</v>
      </c>
      <c r="AP108" s="5" t="n">
        <f aca="false">AP107+LN(1+($G108+AP$7)*$AM108)</f>
        <v>0.622211510381051</v>
      </c>
      <c r="AQ108" s="5" t="n">
        <f aca="false">AQ107+LN(1+($G108+AQ$7)*$AM108)</f>
        <v>0.701208413675632</v>
      </c>
      <c r="AR108" s="5" t="n">
        <f aca="false">AR107+LN(1+($G108+AR$7)*$AM108)</f>
        <v>0.703665700982019</v>
      </c>
      <c r="AS108" s="5" t="n">
        <f aca="false">AS107+LN(1+($G108+AS$7)*$AM108)</f>
        <v>0.702101638525215</v>
      </c>
      <c r="AT108" s="5" t="n">
        <f aca="false">AT107+LN(1+($G108+AT$7)*$AM108)</f>
        <v>0.704558903389374</v>
      </c>
      <c r="AU108" s="5" t="n">
        <f aca="false">AU107+LN(1+($G108+AU$7)*$AM108)</f>
        <v>0.702101447813213</v>
      </c>
      <c r="AV108" s="5" t="n">
        <f aca="false">AV107+LN(1+($G108+AV$7)*$AM108)</f>
        <v>0.704558712682162</v>
      </c>
      <c r="AW108" s="5" t="n">
        <f aca="false">AW107+LN(1+($G108+AW$7)*$AM108)</f>
        <v>0.702101447877172</v>
      </c>
      <c r="AX108" s="5" t="n">
        <f aca="false">AX107+LN(1+($G108+AX$7)*$AM108)</f>
        <v>0.704558712746125</v>
      </c>
      <c r="AY108" s="5" t="n">
        <f aca="false">AY107+LN(1+($G108+AY$7)*$AM108)</f>
        <v>0.70210144787716</v>
      </c>
      <c r="AZ108" s="5" t="n">
        <f aca="false">AZ107+LN(1+($G108+AZ$7)*$AM108)</f>
        <v>0.704558712746103</v>
      </c>
      <c r="BA108" s="5" t="n">
        <f aca="false">BA107+LN(1+($G108+BA$7)*$AM108)</f>
        <v>0.70210144787716</v>
      </c>
      <c r="BB108" s="5" t="n">
        <f aca="false">BB107+LN(1+($G108+BB$7)*$AM108)</f>
        <v>0.704558712746103</v>
      </c>
      <c r="BC108" s="5" t="n">
        <f aca="false">BC107+LN(1+($G108+BC$7)*$AM108)</f>
        <v>0.70210144787716</v>
      </c>
      <c r="BD108" s="5" t="n">
        <f aca="false">BD107+LN(1+($G108+BD$7)*$AM108)</f>
        <v>0.704558712746103</v>
      </c>
      <c r="BE108" s="5" t="n">
        <f aca="false">IF(AB108,O108,IF(D108,MIN(O108,AC108*X108+BF107),0))</f>
        <v>0</v>
      </c>
      <c r="BF108" s="5" t="n">
        <f aca="false">IF(OR(AB108,E108),0,BE108-AD108)</f>
        <v>0</v>
      </c>
      <c r="BG108" s="5" t="n">
        <f aca="false">BG107+LN(1+($G108+BG$7)*$AM108)</f>
        <v>0.677525402936872</v>
      </c>
      <c r="BH108" s="5"/>
      <c r="BI108" s="5" t="n">
        <f aca="false">BI107+LN(1+($G108+BI$7)*$AM108)</f>
        <v>0.726671318747936</v>
      </c>
      <c r="BJ108" s="5"/>
      <c r="BK108" s="62" t="n">
        <f aca="false">C108</f>
        <v>55199</v>
      </c>
      <c r="BL108" s="67" t="n">
        <f aca="false">AI108</f>
        <v>0</v>
      </c>
    </row>
    <row r="109" customFormat="false" ht="15" hidden="false" customHeight="true" outlineLevel="0" collapsed="false">
      <c r="A109" s="3" t="n">
        <v>99</v>
      </c>
      <c r="B109" s="38" t="n">
        <f aca="false">EDATE(Inputs!$C$8,3*(A109-1))</f>
        <v>55288</v>
      </c>
      <c r="C109" s="38" t="n">
        <f aca="false">WORKDAY(B109-1,1)</f>
        <v>55288</v>
      </c>
      <c r="D109" s="61" t="b">
        <f aca="false">C109&lt;=Inputs!$C$9</f>
        <v>1</v>
      </c>
      <c r="E109" s="61" t="b">
        <f aca="false">AND(D109,NOT(D110))</f>
        <v>0</v>
      </c>
      <c r="F109" s="63" t="n">
        <f aca="false">(C109-C108)/360</f>
        <v>0.247222222222222</v>
      </c>
      <c r="G109" s="57" t="n">
        <f aca="false">Curve!D102</f>
        <v>0.02252</v>
      </c>
      <c r="H109" s="64" t="n">
        <f aca="false">AF108</f>
        <v>0</v>
      </c>
      <c r="I109" s="64" t="n">
        <f aca="false">IF(D109,H109*Inputs!$G$22,0)</f>
        <v>0</v>
      </c>
      <c r="J109" s="32" t="n">
        <f aca="false">MAX(Inputs!$G$24-(A109-1),1)</f>
        <v>1</v>
      </c>
      <c r="K109" s="64" t="n">
        <f aca="false">IF(D109,MIN(H109-I109,IF(J109&gt;1,(H109-I109)*Inputs!$G$23/((1+Inputs!$G$23)^J109-1),H109-I109)),0)</f>
        <v>0</v>
      </c>
      <c r="L109" s="64" t="n">
        <f aca="false">IF(D109,(H109-I109-K109)*Inputs!$G$21,0)</f>
        <v>0</v>
      </c>
      <c r="M109" s="64" t="n">
        <f aca="false">IF(A109&gt;Inputs!$G$13,(1-Inputs!$G$12)*INDEX($I$11:$I$190,A109-Inputs!$G$13),0)</f>
        <v>0</v>
      </c>
      <c r="N109" s="64" t="n">
        <f aca="false">IF(D109,(H109-I109)*Inputs!$G$23,0)</f>
        <v>0</v>
      </c>
      <c r="O109" s="64" t="n">
        <f aca="false">AG108</f>
        <v>0</v>
      </c>
      <c r="P109" s="64" t="n">
        <f aca="false">AH108</f>
        <v>256983.980657201</v>
      </c>
      <c r="Q109" s="64" t="n">
        <f aca="false">IF(AND(D109,O109+P109&gt;0),Inputs!$C$25+Inputs!$C$26*H109/4,0)</f>
        <v>100000</v>
      </c>
      <c r="R109" s="64" t="n">
        <f aca="false">O109*IF(Inputs!$G$19="",G109+Inputs!$C$13,MAX(Inputs!$G$19,G109+Inputs!$C$13))*F109</f>
        <v>0</v>
      </c>
      <c r="S109" s="64" t="n">
        <f aca="false">P109*(G109+Inputs!$C$14)*F109</f>
        <v>1879.44675592817</v>
      </c>
      <c r="T109" s="64" t="n">
        <f aca="false">N109+M109-Q109-R109-S109</f>
        <v>-101879.446755928</v>
      </c>
      <c r="U109" s="64" t="n">
        <f aca="false">W108</f>
        <v>260422.420657149</v>
      </c>
      <c r="V109" s="64" t="n">
        <f aca="false">MIN(U109+I109,MAX(T109,0))</f>
        <v>0</v>
      </c>
      <c r="W109" s="64" t="n">
        <f aca="false">U109+I109-V109</f>
        <v>260422.420657149</v>
      </c>
      <c r="X109" s="64" t="n">
        <f aca="false">K109+L109+V109+IF(E109,H109-I109-K109-L109,0)</f>
        <v>0</v>
      </c>
      <c r="Y109" s="61" t="b">
        <f aca="false">AND(Inputs!$C$21=1,O109/Inputs!$C$10&lt;=Inputs!$C$22,Inputs!$G$14&lt;Inputs!$C$23,W109&lt;1)</f>
        <v>0</v>
      </c>
      <c r="Z109" s="61" t="b">
        <f aca="false">OR(AND(Inputs!$G$15=1,H109/Inputs!$C$17&lt;=Inputs!$C$24),AND(Inputs!$G$15=2,C109&gt;=Inputs!$G$16))</f>
        <v>0</v>
      </c>
      <c r="AA109" s="61" t="b">
        <f aca="false">OR(AA108,Z109)</f>
        <v>0</v>
      </c>
      <c r="AB109" s="61" t="b">
        <f aca="false">AND(Z109,NOT(AA108),D109,O109&gt;0)</f>
        <v>0</v>
      </c>
      <c r="AC109" s="63" t="n">
        <f aca="false">IF(AND(Y109,NOT(E109),O109+P109&gt;0),O109/(O109+P109),1)</f>
        <v>1</v>
      </c>
      <c r="AD109" s="64" t="n">
        <f aca="false">IF(AB109,O109,IF(D109,MIN(O109,IF(E109,AC109*X109+BF108,BE109*Inputs!$G$20)),0))</f>
        <v>0</v>
      </c>
      <c r="AE109" s="64" t="n">
        <f aca="false">IF(AB109,P109,IF(D109,MAX(MIN(P109,X109-MIN(O109,AC109*X109)),0),0))</f>
        <v>0</v>
      </c>
      <c r="AF109" s="64" t="n">
        <f aca="false">IF(OR(AB109,E109),0,MAX(H109-I109-K109-L109,0))</f>
        <v>0</v>
      </c>
      <c r="AG109" s="64" t="n">
        <f aca="false">IF(E109,0,O109-AD109)</f>
        <v>0</v>
      </c>
      <c r="AH109" s="64" t="n">
        <f aca="false">IF(OR(AB109,E109),0,P109-AE109)</f>
        <v>256983.980657201</v>
      </c>
      <c r="AI109" s="64" t="n">
        <f aca="false">IF(D109,R109+AD109,0)</f>
        <v>0</v>
      </c>
      <c r="AJ109" s="65" t="n">
        <f aca="false">(C109-Inputs!$G$6)/365</f>
        <v>24.6547945205479</v>
      </c>
      <c r="AK109" s="29" t="n">
        <f aca="false">AG109/Inputs!$C$10</f>
        <v>0</v>
      </c>
      <c r="AL109" s="5"/>
      <c r="AM109" s="66" t="n">
        <f aca="false">F109</f>
        <v>0.247222222222222</v>
      </c>
      <c r="AN109" s="5"/>
      <c r="AO109" s="5" t="n">
        <f aca="false">AO108+LN(1+($G109+AO$7)*$AM109)</f>
        <v>0.625943193885465</v>
      </c>
      <c r="AP109" s="5" t="n">
        <f aca="false">AP108+LN(1+($G109+AP$7)*$AM109)</f>
        <v>0.628427097976967</v>
      </c>
      <c r="AQ109" s="5" t="n">
        <f aca="false">AQ108+LN(1+($G109+AQ$7)*$AM109)</f>
        <v>0.708213206610501</v>
      </c>
      <c r="AR109" s="5" t="n">
        <f aca="false">AR108+LN(1+($G109+AR$7)*$AM109)</f>
        <v>0.710695043268835</v>
      </c>
      <c r="AS109" s="5" t="n">
        <f aca="false">AS108+LN(1+($G109+AS$7)*$AM109)</f>
        <v>0.709115355157009</v>
      </c>
      <c r="AT109" s="5" t="n">
        <f aca="false">AT108+LN(1+($G109+AT$7)*$AM109)</f>
        <v>0.711597169154048</v>
      </c>
      <c r="AU109" s="5" t="n">
        <f aca="false">AU108+LN(1+($G109+AU$7)*$AM109)</f>
        <v>0.709115162539713</v>
      </c>
      <c r="AV109" s="5" t="n">
        <f aca="false">AV108+LN(1+($G109+AV$7)*$AM109)</f>
        <v>0.711596976541589</v>
      </c>
      <c r="AW109" s="5" t="n">
        <f aca="false">AW108+LN(1+($G109+AW$7)*$AM109)</f>
        <v>0.709115162604311</v>
      </c>
      <c r="AX109" s="5" t="n">
        <f aca="false">AX108+LN(1+($G109+AX$7)*$AM109)</f>
        <v>0.711596976606191</v>
      </c>
      <c r="AY109" s="5" t="n">
        <f aca="false">AY108+LN(1+($G109+AY$7)*$AM109)</f>
        <v>0.709115162604299</v>
      </c>
      <c r="AZ109" s="5" t="n">
        <f aca="false">AZ108+LN(1+($G109+AZ$7)*$AM109)</f>
        <v>0.711596976606169</v>
      </c>
      <c r="BA109" s="5" t="n">
        <f aca="false">BA108+LN(1+($G109+BA$7)*$AM109)</f>
        <v>0.709115162604299</v>
      </c>
      <c r="BB109" s="5" t="n">
        <f aca="false">BB108+LN(1+($G109+BB$7)*$AM109)</f>
        <v>0.711596976606169</v>
      </c>
      <c r="BC109" s="5" t="n">
        <f aca="false">BC108+LN(1+($G109+BC$7)*$AM109)</f>
        <v>0.709115162604299</v>
      </c>
      <c r="BD109" s="5" t="n">
        <f aca="false">BD108+LN(1+($G109+BD$7)*$AM109)</f>
        <v>0.711596976606169</v>
      </c>
      <c r="BE109" s="5" t="n">
        <f aca="false">IF(AB109,O109,IF(D109,MIN(O109,AC109*X109+BF108),0))</f>
        <v>0</v>
      </c>
      <c r="BF109" s="5" t="n">
        <f aca="false">IF(OR(AB109,E109),0,BE109-AD109)</f>
        <v>0</v>
      </c>
      <c r="BG109" s="5" t="n">
        <f aca="false">BG108+LN(1+($G109+BG$7)*$AM109)</f>
        <v>0.68429359318275</v>
      </c>
      <c r="BH109" s="5"/>
      <c r="BI109" s="5" t="n">
        <f aca="false">BI108+LN(1+($G109+BI$7)*$AM109)</f>
        <v>0.733930497688861</v>
      </c>
      <c r="BJ109" s="5"/>
      <c r="BK109" s="62" t="n">
        <f aca="false">C109</f>
        <v>55288</v>
      </c>
      <c r="BL109" s="67" t="n">
        <f aca="false">AI109</f>
        <v>0</v>
      </c>
    </row>
    <row r="110" customFormat="false" ht="15" hidden="false" customHeight="true" outlineLevel="0" collapsed="false">
      <c r="A110" s="3" t="n">
        <v>100</v>
      </c>
      <c r="B110" s="38" t="n">
        <f aca="false">EDATE(Inputs!$C$8,3*(A110-1))</f>
        <v>55380</v>
      </c>
      <c r="C110" s="38" t="n">
        <f aca="false">WORKDAY(B110-1,1)</f>
        <v>55380</v>
      </c>
      <c r="D110" s="61" t="b">
        <f aca="false">C110&lt;=Inputs!$C$9</f>
        <v>1</v>
      </c>
      <c r="E110" s="61" t="b">
        <f aca="false">AND(D110,NOT(D111))</f>
        <v>0</v>
      </c>
      <c r="F110" s="63" t="n">
        <f aca="false">(C110-C109)/360</f>
        <v>0.255555555555556</v>
      </c>
      <c r="G110" s="57" t="n">
        <f aca="false">Curve!D103</f>
        <v>0.02252</v>
      </c>
      <c r="H110" s="64" t="n">
        <f aca="false">AF109</f>
        <v>0</v>
      </c>
      <c r="I110" s="64" t="n">
        <f aca="false">IF(D110,H110*Inputs!$G$22,0)</f>
        <v>0</v>
      </c>
      <c r="J110" s="32" t="n">
        <f aca="false">MAX(Inputs!$G$24-(A110-1),1)</f>
        <v>1</v>
      </c>
      <c r="K110" s="64" t="n">
        <f aca="false">IF(D110,MIN(H110-I110,IF(J110&gt;1,(H110-I110)*Inputs!$G$23/((1+Inputs!$G$23)^J110-1),H110-I110)),0)</f>
        <v>0</v>
      </c>
      <c r="L110" s="64" t="n">
        <f aca="false">IF(D110,(H110-I110-K110)*Inputs!$G$21,0)</f>
        <v>0</v>
      </c>
      <c r="M110" s="64" t="n">
        <f aca="false">IF(A110&gt;Inputs!$G$13,(1-Inputs!$G$12)*INDEX($I$11:$I$190,A110-Inputs!$G$13),0)</f>
        <v>0</v>
      </c>
      <c r="N110" s="64" t="n">
        <f aca="false">IF(D110,(H110-I110)*Inputs!$G$23,0)</f>
        <v>0</v>
      </c>
      <c r="O110" s="64" t="n">
        <f aca="false">AG109</f>
        <v>0</v>
      </c>
      <c r="P110" s="64" t="n">
        <f aca="false">AH109</f>
        <v>256983.980657201</v>
      </c>
      <c r="Q110" s="64" t="n">
        <f aca="false">IF(AND(D110,O110+P110&gt;0),Inputs!$C$25+Inputs!$C$26*H110/4,0)</f>
        <v>100000</v>
      </c>
      <c r="R110" s="64" t="n">
        <f aca="false">O110*IF(Inputs!$G$19="",G110+Inputs!$C$13,MAX(Inputs!$G$19,G110+Inputs!$C$13))*F110</f>
        <v>0</v>
      </c>
      <c r="S110" s="64" t="n">
        <f aca="false">P110*(G110+Inputs!$C$14)*F110</f>
        <v>1942.79889376844</v>
      </c>
      <c r="T110" s="64" t="n">
        <f aca="false">N110+M110-Q110-R110-S110</f>
        <v>-101942.798893768</v>
      </c>
      <c r="U110" s="64" t="n">
        <f aca="false">W109</f>
        <v>260422.420657149</v>
      </c>
      <c r="V110" s="64" t="n">
        <f aca="false">MIN(U110+I110,MAX(T110,0))</f>
        <v>0</v>
      </c>
      <c r="W110" s="64" t="n">
        <f aca="false">U110+I110-V110</f>
        <v>260422.420657149</v>
      </c>
      <c r="X110" s="64" t="n">
        <f aca="false">K110+L110+V110+IF(E110,H110-I110-K110-L110,0)</f>
        <v>0</v>
      </c>
      <c r="Y110" s="61" t="b">
        <f aca="false">AND(Inputs!$C$21=1,O110/Inputs!$C$10&lt;=Inputs!$C$22,Inputs!$G$14&lt;Inputs!$C$23,W110&lt;1)</f>
        <v>0</v>
      </c>
      <c r="Z110" s="61" t="b">
        <f aca="false">OR(AND(Inputs!$G$15=1,H110/Inputs!$C$17&lt;=Inputs!$C$24),AND(Inputs!$G$15=2,C110&gt;=Inputs!$G$16))</f>
        <v>0</v>
      </c>
      <c r="AA110" s="61" t="b">
        <f aca="false">OR(AA109,Z110)</f>
        <v>0</v>
      </c>
      <c r="AB110" s="61" t="b">
        <f aca="false">AND(Z110,NOT(AA109),D110,O110&gt;0)</f>
        <v>0</v>
      </c>
      <c r="AC110" s="63" t="n">
        <f aca="false">IF(AND(Y110,NOT(E110),O110+P110&gt;0),O110/(O110+P110),1)</f>
        <v>1</v>
      </c>
      <c r="AD110" s="64" t="n">
        <f aca="false">IF(AB110,O110,IF(D110,MIN(O110,IF(E110,AC110*X110+BF109,BE110*Inputs!$G$20)),0))</f>
        <v>0</v>
      </c>
      <c r="AE110" s="64" t="n">
        <f aca="false">IF(AB110,P110,IF(D110,MAX(MIN(P110,X110-MIN(O110,AC110*X110)),0),0))</f>
        <v>0</v>
      </c>
      <c r="AF110" s="64" t="n">
        <f aca="false">IF(OR(AB110,E110),0,MAX(H110-I110-K110-L110,0))</f>
        <v>0</v>
      </c>
      <c r="AG110" s="64" t="n">
        <f aca="false">IF(E110,0,O110-AD110)</f>
        <v>0</v>
      </c>
      <c r="AH110" s="64" t="n">
        <f aca="false">IF(OR(AB110,E110),0,P110-AE110)</f>
        <v>256983.980657201</v>
      </c>
      <c r="AI110" s="64" t="n">
        <f aca="false">IF(D110,R110+AD110,0)</f>
        <v>0</v>
      </c>
      <c r="AJ110" s="65" t="n">
        <f aca="false">(C110-Inputs!$G$6)/365</f>
        <v>24.9068493150685</v>
      </c>
      <c r="AK110" s="29" t="n">
        <f aca="false">AG110/Inputs!$C$10</f>
        <v>0</v>
      </c>
      <c r="AL110" s="5"/>
      <c r="AM110" s="66" t="n">
        <f aca="false">F110</f>
        <v>0.255555555555556</v>
      </c>
      <c r="AN110" s="5"/>
      <c r="AO110" s="5" t="n">
        <f aca="false">AO109+LN(1+($G110+AO$7)*$AM110)</f>
        <v>0.632342231856622</v>
      </c>
      <c r="AP110" s="5" t="n">
        <f aca="false">AP109+LN(1+($G110+AP$7)*$AM110)</f>
        <v>0.63485152817243</v>
      </c>
      <c r="AQ110" s="5" t="n">
        <f aca="false">AQ109+LN(1+($G110+AQ$7)*$AM110)</f>
        <v>0.715453263437982</v>
      </c>
      <c r="AR110" s="5" t="n">
        <f aca="false">AR109+LN(1+($G110+AR$7)*$AM110)</f>
        <v>0.717960470974531</v>
      </c>
      <c r="AS110" s="5" t="n">
        <f aca="false">AS109+LN(1+($G110+AS$7)*$AM110)</f>
        <v>0.716364634308875</v>
      </c>
      <c r="AT110" s="5" t="n">
        <f aca="false">AT109+LN(1+($G110+AT$7)*$AM110)</f>
        <v>0.718871818950155</v>
      </c>
      <c r="AU110" s="5" t="n">
        <f aca="false">AU109+LN(1+($G110+AU$7)*$AM110)</f>
        <v>0.716364439722525</v>
      </c>
      <c r="AV110" s="5" t="n">
        <f aca="false">AV109+LN(1+($G110+AV$7)*$AM110)</f>
        <v>0.718871624368692</v>
      </c>
      <c r="AW110" s="5" t="n">
        <f aca="false">AW109+LN(1+($G110+AW$7)*$AM110)</f>
        <v>0.716364439787784</v>
      </c>
      <c r="AX110" s="5" t="n">
        <f aca="false">AX109+LN(1+($G110+AX$7)*$AM110)</f>
        <v>0.718871624433954</v>
      </c>
      <c r="AY110" s="5" t="n">
        <f aca="false">AY109+LN(1+($G110+AY$7)*$AM110)</f>
        <v>0.716364439787771</v>
      </c>
      <c r="AZ110" s="5" t="n">
        <f aca="false">AZ109+LN(1+($G110+AZ$7)*$AM110)</f>
        <v>0.718871624433932</v>
      </c>
      <c r="BA110" s="5" t="n">
        <f aca="false">BA109+LN(1+($G110+BA$7)*$AM110)</f>
        <v>0.716364439787771</v>
      </c>
      <c r="BB110" s="5" t="n">
        <f aca="false">BB109+LN(1+($G110+BB$7)*$AM110)</f>
        <v>0.718871624433932</v>
      </c>
      <c r="BC110" s="5" t="n">
        <f aca="false">BC109+LN(1+($G110+BC$7)*$AM110)</f>
        <v>0.716364439787771</v>
      </c>
      <c r="BD110" s="5" t="n">
        <f aca="false">BD109+LN(1+($G110+BD$7)*$AM110)</f>
        <v>0.718871624433932</v>
      </c>
      <c r="BE110" s="5" t="n">
        <f aca="false">IF(AB110,O110,IF(D110,MIN(O110,AC110*X110+BF109),0))</f>
        <v>0</v>
      </c>
      <c r="BF110" s="5" t="n">
        <f aca="false">IF(OR(AB110,E110),0,BE110-AD110)</f>
        <v>0</v>
      </c>
      <c r="BG110" s="5" t="n">
        <f aca="false">BG109+LN(1+($G110+BG$7)*$AM110)</f>
        <v>0.691289128515201</v>
      </c>
      <c r="BH110" s="5"/>
      <c r="BI110" s="5" t="n">
        <f aca="false">BI109+LN(1+($G110+BI$7)*$AM110)</f>
        <v>0.741433452354761</v>
      </c>
      <c r="BJ110" s="5"/>
      <c r="BK110" s="62" t="n">
        <f aca="false">C110</f>
        <v>55380</v>
      </c>
      <c r="BL110" s="67" t="n">
        <f aca="false">AI110</f>
        <v>0</v>
      </c>
    </row>
    <row r="111" customFormat="false" ht="15" hidden="false" customHeight="true" outlineLevel="0" collapsed="false">
      <c r="A111" s="3" t="n">
        <v>101</v>
      </c>
      <c r="B111" s="38" t="n">
        <f aca="false">EDATE(Inputs!$C$8,3*(A111-1))</f>
        <v>55472</v>
      </c>
      <c r="C111" s="38" t="n">
        <f aca="false">WORKDAY(B111-1,1)</f>
        <v>55472</v>
      </c>
      <c r="D111" s="61" t="b">
        <f aca="false">C111&lt;=Inputs!$C$9</f>
        <v>1</v>
      </c>
      <c r="E111" s="61" t="b">
        <f aca="false">AND(D111,NOT(D112))</f>
        <v>0</v>
      </c>
      <c r="F111" s="63" t="n">
        <f aca="false">(C111-C110)/360</f>
        <v>0.255555555555556</v>
      </c>
      <c r="G111" s="57" t="n">
        <f aca="false">Curve!D104</f>
        <v>0.02252</v>
      </c>
      <c r="H111" s="64" t="n">
        <f aca="false">AF110</f>
        <v>0</v>
      </c>
      <c r="I111" s="64" t="n">
        <f aca="false">IF(D111,H111*Inputs!$G$22,0)</f>
        <v>0</v>
      </c>
      <c r="J111" s="32" t="n">
        <f aca="false">MAX(Inputs!$G$24-(A111-1),1)</f>
        <v>1</v>
      </c>
      <c r="K111" s="64" t="n">
        <f aca="false">IF(D111,MIN(H111-I111,IF(J111&gt;1,(H111-I111)*Inputs!$G$23/((1+Inputs!$G$23)^J111-1),H111-I111)),0)</f>
        <v>0</v>
      </c>
      <c r="L111" s="64" t="n">
        <f aca="false">IF(D111,(H111-I111-K111)*Inputs!$G$21,0)</f>
        <v>0</v>
      </c>
      <c r="M111" s="64" t="n">
        <f aca="false">IF(A111&gt;Inputs!$G$13,(1-Inputs!$G$12)*INDEX($I$11:$I$190,A111-Inputs!$G$13),0)</f>
        <v>0</v>
      </c>
      <c r="N111" s="64" t="n">
        <f aca="false">IF(D111,(H111-I111)*Inputs!$G$23,0)</f>
        <v>0</v>
      </c>
      <c r="O111" s="64" t="n">
        <f aca="false">AG110</f>
        <v>0</v>
      </c>
      <c r="P111" s="64" t="n">
        <f aca="false">AH110</f>
        <v>256983.980657201</v>
      </c>
      <c r="Q111" s="64" t="n">
        <f aca="false">IF(AND(D111,O111+P111&gt;0),Inputs!$C$25+Inputs!$C$26*H111/4,0)</f>
        <v>100000</v>
      </c>
      <c r="R111" s="64" t="n">
        <f aca="false">O111*IF(Inputs!$G$19="",G111+Inputs!$C$13,MAX(Inputs!$G$19,G111+Inputs!$C$13))*F111</f>
        <v>0</v>
      </c>
      <c r="S111" s="64" t="n">
        <f aca="false">P111*(G111+Inputs!$C$14)*F111</f>
        <v>1942.79889376844</v>
      </c>
      <c r="T111" s="64" t="n">
        <f aca="false">N111+M111-Q111-R111-S111</f>
        <v>-101942.798893768</v>
      </c>
      <c r="U111" s="64" t="n">
        <f aca="false">W110</f>
        <v>260422.420657149</v>
      </c>
      <c r="V111" s="64" t="n">
        <f aca="false">MIN(U111+I111,MAX(T111,0))</f>
        <v>0</v>
      </c>
      <c r="W111" s="64" t="n">
        <f aca="false">U111+I111-V111</f>
        <v>260422.420657149</v>
      </c>
      <c r="X111" s="64" t="n">
        <f aca="false">K111+L111+V111+IF(E111,H111-I111-K111-L111,0)</f>
        <v>0</v>
      </c>
      <c r="Y111" s="61" t="b">
        <f aca="false">AND(Inputs!$C$21=1,O111/Inputs!$C$10&lt;=Inputs!$C$22,Inputs!$G$14&lt;Inputs!$C$23,W111&lt;1)</f>
        <v>0</v>
      </c>
      <c r="Z111" s="61" t="b">
        <f aca="false">OR(AND(Inputs!$G$15=1,H111/Inputs!$C$17&lt;=Inputs!$C$24),AND(Inputs!$G$15=2,C111&gt;=Inputs!$G$16))</f>
        <v>0</v>
      </c>
      <c r="AA111" s="61" t="b">
        <f aca="false">OR(AA110,Z111)</f>
        <v>0</v>
      </c>
      <c r="AB111" s="61" t="b">
        <f aca="false">AND(Z111,NOT(AA110),D111,O111&gt;0)</f>
        <v>0</v>
      </c>
      <c r="AC111" s="63" t="n">
        <f aca="false">IF(AND(Y111,NOT(E111),O111+P111&gt;0),O111/(O111+P111),1)</f>
        <v>1</v>
      </c>
      <c r="AD111" s="64" t="n">
        <f aca="false">IF(AB111,O111,IF(D111,MIN(O111,IF(E111,AC111*X111+BF110,BE111*Inputs!$G$20)),0))</f>
        <v>0</v>
      </c>
      <c r="AE111" s="64" t="n">
        <f aca="false">IF(AB111,P111,IF(D111,MAX(MIN(P111,X111-MIN(O111,AC111*X111)),0),0))</f>
        <v>0</v>
      </c>
      <c r="AF111" s="64" t="n">
        <f aca="false">IF(OR(AB111,E111),0,MAX(H111-I111-K111-L111,0))</f>
        <v>0</v>
      </c>
      <c r="AG111" s="64" t="n">
        <f aca="false">IF(E111,0,O111-AD111)</f>
        <v>0</v>
      </c>
      <c r="AH111" s="64" t="n">
        <f aca="false">IF(OR(AB111,E111),0,P111-AE111)</f>
        <v>256983.980657201</v>
      </c>
      <c r="AI111" s="64" t="n">
        <f aca="false">IF(D111,R111+AD111,0)</f>
        <v>0</v>
      </c>
      <c r="AJ111" s="65" t="n">
        <f aca="false">(C111-Inputs!$G$6)/365</f>
        <v>25.158904109589</v>
      </c>
      <c r="AK111" s="29" t="n">
        <f aca="false">AG111/Inputs!$C$10</f>
        <v>0</v>
      </c>
      <c r="AL111" s="5"/>
      <c r="AM111" s="66" t="n">
        <f aca="false">F111</f>
        <v>0.255555555555556</v>
      </c>
      <c r="AN111" s="5"/>
      <c r="AO111" s="5" t="n">
        <f aca="false">AO110+LN(1+($G111+AO$7)*$AM111)</f>
        <v>0.63874126982778</v>
      </c>
      <c r="AP111" s="5" t="n">
        <f aca="false">AP110+LN(1+($G111+AP$7)*$AM111)</f>
        <v>0.641275958367894</v>
      </c>
      <c r="AQ111" s="5" t="n">
        <f aca="false">AQ110+LN(1+($G111+AQ$7)*$AM111)</f>
        <v>0.722693320265462</v>
      </c>
      <c r="AR111" s="5" t="n">
        <f aca="false">AR110+LN(1+($G111+AR$7)*$AM111)</f>
        <v>0.725225898680227</v>
      </c>
      <c r="AS111" s="5" t="n">
        <f aca="false">AS110+LN(1+($G111+AS$7)*$AM111)</f>
        <v>0.723613913460741</v>
      </c>
      <c r="AT111" s="5" t="n">
        <f aca="false">AT110+LN(1+($G111+AT$7)*$AM111)</f>
        <v>0.726146468746262</v>
      </c>
      <c r="AU111" s="5" t="n">
        <f aca="false">AU110+LN(1+($G111+AU$7)*$AM111)</f>
        <v>0.723613716905337</v>
      </c>
      <c r="AV111" s="5" t="n">
        <f aca="false">AV110+LN(1+($G111+AV$7)*$AM111)</f>
        <v>0.726146272195795</v>
      </c>
      <c r="AW111" s="5" t="n">
        <f aca="false">AW110+LN(1+($G111+AW$7)*$AM111)</f>
        <v>0.723613716971256</v>
      </c>
      <c r="AX111" s="5" t="n">
        <f aca="false">AX110+LN(1+($G111+AX$7)*$AM111)</f>
        <v>0.726146272261717</v>
      </c>
      <c r="AY111" s="5" t="n">
        <f aca="false">AY110+LN(1+($G111+AY$7)*$AM111)</f>
        <v>0.723613716971244</v>
      </c>
      <c r="AZ111" s="5" t="n">
        <f aca="false">AZ110+LN(1+($G111+AZ$7)*$AM111)</f>
        <v>0.726146272261695</v>
      </c>
      <c r="BA111" s="5" t="n">
        <f aca="false">BA110+LN(1+($G111+BA$7)*$AM111)</f>
        <v>0.723613716971244</v>
      </c>
      <c r="BB111" s="5" t="n">
        <f aca="false">BB110+LN(1+($G111+BB$7)*$AM111)</f>
        <v>0.726146272261695</v>
      </c>
      <c r="BC111" s="5" t="n">
        <f aca="false">BC110+LN(1+($G111+BC$7)*$AM111)</f>
        <v>0.723613716971244</v>
      </c>
      <c r="BD111" s="5" t="n">
        <f aca="false">BD110+LN(1+($G111+BD$7)*$AM111)</f>
        <v>0.726146272261695</v>
      </c>
      <c r="BE111" s="5" t="n">
        <f aca="false">IF(AB111,O111,IF(D111,MIN(O111,AC111*X111+BF110),0))</f>
        <v>0</v>
      </c>
      <c r="BF111" s="5" t="n">
        <f aca="false">IF(OR(AB111,E111),0,BE111-AD111)</f>
        <v>0</v>
      </c>
      <c r="BG111" s="5" t="n">
        <f aca="false">BG110+LN(1+($G111+BG$7)*$AM111)</f>
        <v>0.698284663847652</v>
      </c>
      <c r="BH111" s="5"/>
      <c r="BI111" s="5" t="n">
        <f aca="false">BI110+LN(1+($G111+BI$7)*$AM111)</f>
        <v>0.748936407020661</v>
      </c>
      <c r="BJ111" s="5"/>
      <c r="BK111" s="62" t="n">
        <f aca="false">C111</f>
        <v>55472</v>
      </c>
      <c r="BL111" s="67" t="n">
        <f aca="false">AI111</f>
        <v>0</v>
      </c>
    </row>
    <row r="112" customFormat="false" ht="15" hidden="false" customHeight="true" outlineLevel="0" collapsed="false">
      <c r="A112" s="3" t="n">
        <v>102</v>
      </c>
      <c r="B112" s="38" t="n">
        <f aca="false">EDATE(Inputs!$C$8,3*(A112-1))</f>
        <v>55564</v>
      </c>
      <c r="C112" s="38" t="n">
        <f aca="false">WORKDAY(B112-1,1)</f>
        <v>55564</v>
      </c>
      <c r="D112" s="61" t="b">
        <f aca="false">C112&lt;=Inputs!$C$9</f>
        <v>1</v>
      </c>
      <c r="E112" s="61" t="b">
        <f aca="false">AND(D112,NOT(D113))</f>
        <v>0</v>
      </c>
      <c r="F112" s="63" t="n">
        <f aca="false">(C112-C111)/360</f>
        <v>0.255555555555556</v>
      </c>
      <c r="G112" s="57" t="n">
        <f aca="false">Curve!D105</f>
        <v>0.02252</v>
      </c>
      <c r="H112" s="64" t="n">
        <f aca="false">AF111</f>
        <v>0</v>
      </c>
      <c r="I112" s="64" t="n">
        <f aca="false">IF(D112,H112*Inputs!$G$22,0)</f>
        <v>0</v>
      </c>
      <c r="J112" s="32" t="n">
        <f aca="false">MAX(Inputs!$G$24-(A112-1),1)</f>
        <v>1</v>
      </c>
      <c r="K112" s="64" t="n">
        <f aca="false">IF(D112,MIN(H112-I112,IF(J112&gt;1,(H112-I112)*Inputs!$G$23/((1+Inputs!$G$23)^J112-1),H112-I112)),0)</f>
        <v>0</v>
      </c>
      <c r="L112" s="64" t="n">
        <f aca="false">IF(D112,(H112-I112-K112)*Inputs!$G$21,0)</f>
        <v>0</v>
      </c>
      <c r="M112" s="64" t="n">
        <f aca="false">IF(A112&gt;Inputs!$G$13,(1-Inputs!$G$12)*INDEX($I$11:$I$190,A112-Inputs!$G$13),0)</f>
        <v>0</v>
      </c>
      <c r="N112" s="64" t="n">
        <f aca="false">IF(D112,(H112-I112)*Inputs!$G$23,0)</f>
        <v>0</v>
      </c>
      <c r="O112" s="64" t="n">
        <f aca="false">AG111</f>
        <v>0</v>
      </c>
      <c r="P112" s="64" t="n">
        <f aca="false">AH111</f>
        <v>256983.980657201</v>
      </c>
      <c r="Q112" s="64" t="n">
        <f aca="false">IF(AND(D112,O112+P112&gt;0),Inputs!$C$25+Inputs!$C$26*H112/4,0)</f>
        <v>100000</v>
      </c>
      <c r="R112" s="64" t="n">
        <f aca="false">O112*IF(Inputs!$G$19="",G112+Inputs!$C$13,MAX(Inputs!$G$19,G112+Inputs!$C$13))*F112</f>
        <v>0</v>
      </c>
      <c r="S112" s="64" t="n">
        <f aca="false">P112*(G112+Inputs!$C$14)*F112</f>
        <v>1942.79889376844</v>
      </c>
      <c r="T112" s="64" t="n">
        <f aca="false">N112+M112-Q112-R112-S112</f>
        <v>-101942.798893768</v>
      </c>
      <c r="U112" s="64" t="n">
        <f aca="false">W111</f>
        <v>260422.420657149</v>
      </c>
      <c r="V112" s="64" t="n">
        <f aca="false">MIN(U112+I112,MAX(T112,0))</f>
        <v>0</v>
      </c>
      <c r="W112" s="64" t="n">
        <f aca="false">U112+I112-V112</f>
        <v>260422.420657149</v>
      </c>
      <c r="X112" s="64" t="n">
        <f aca="false">K112+L112+V112+IF(E112,H112-I112-K112-L112,0)</f>
        <v>0</v>
      </c>
      <c r="Y112" s="61" t="b">
        <f aca="false">AND(Inputs!$C$21=1,O112/Inputs!$C$10&lt;=Inputs!$C$22,Inputs!$G$14&lt;Inputs!$C$23,W112&lt;1)</f>
        <v>0</v>
      </c>
      <c r="Z112" s="61" t="b">
        <f aca="false">OR(AND(Inputs!$G$15=1,H112/Inputs!$C$17&lt;=Inputs!$C$24),AND(Inputs!$G$15=2,C112&gt;=Inputs!$G$16))</f>
        <v>0</v>
      </c>
      <c r="AA112" s="61" t="b">
        <f aca="false">OR(AA111,Z112)</f>
        <v>0</v>
      </c>
      <c r="AB112" s="61" t="b">
        <f aca="false">AND(Z112,NOT(AA111),D112,O112&gt;0)</f>
        <v>0</v>
      </c>
      <c r="AC112" s="63" t="n">
        <f aca="false">IF(AND(Y112,NOT(E112),O112+P112&gt;0),O112/(O112+P112),1)</f>
        <v>1</v>
      </c>
      <c r="AD112" s="64" t="n">
        <f aca="false">IF(AB112,O112,IF(D112,MIN(O112,IF(E112,AC112*X112+BF111,BE112*Inputs!$G$20)),0))</f>
        <v>0</v>
      </c>
      <c r="AE112" s="64" t="n">
        <f aca="false">IF(AB112,P112,IF(D112,MAX(MIN(P112,X112-MIN(O112,AC112*X112)),0),0))</f>
        <v>0</v>
      </c>
      <c r="AF112" s="64" t="n">
        <f aca="false">IF(OR(AB112,E112),0,MAX(H112-I112-K112-L112,0))</f>
        <v>0</v>
      </c>
      <c r="AG112" s="64" t="n">
        <f aca="false">IF(E112,0,O112-AD112)</f>
        <v>0</v>
      </c>
      <c r="AH112" s="64" t="n">
        <f aca="false">IF(OR(AB112,E112),0,P112-AE112)</f>
        <v>256983.980657201</v>
      </c>
      <c r="AI112" s="64" t="n">
        <f aca="false">IF(D112,R112+AD112,0)</f>
        <v>0</v>
      </c>
      <c r="AJ112" s="65" t="n">
        <f aca="false">(C112-Inputs!$G$6)/365</f>
        <v>25.4109589041096</v>
      </c>
      <c r="AK112" s="29" t="n">
        <f aca="false">AG112/Inputs!$C$10</f>
        <v>0</v>
      </c>
      <c r="AL112" s="5"/>
      <c r="AM112" s="66" t="n">
        <f aca="false">F112</f>
        <v>0.255555555555556</v>
      </c>
      <c r="AN112" s="5"/>
      <c r="AO112" s="5" t="n">
        <f aca="false">AO111+LN(1+($G112+AO$7)*$AM112)</f>
        <v>0.645140307798937</v>
      </c>
      <c r="AP112" s="5" t="n">
        <f aca="false">AP111+LN(1+($G112+AP$7)*$AM112)</f>
        <v>0.647700388563357</v>
      </c>
      <c r="AQ112" s="5" t="n">
        <f aca="false">AQ111+LN(1+($G112+AQ$7)*$AM112)</f>
        <v>0.729933377092943</v>
      </c>
      <c r="AR112" s="5" t="n">
        <f aca="false">AR111+LN(1+($G112+AR$7)*$AM112)</f>
        <v>0.732491326385923</v>
      </c>
      <c r="AS112" s="5" t="n">
        <f aca="false">AS111+LN(1+($G112+AS$7)*$AM112)</f>
        <v>0.730863192612608</v>
      </c>
      <c r="AT112" s="5" t="n">
        <f aca="false">AT111+LN(1+($G112+AT$7)*$AM112)</f>
        <v>0.733421118542369</v>
      </c>
      <c r="AU112" s="5" t="n">
        <f aca="false">AU111+LN(1+($G112+AU$7)*$AM112)</f>
        <v>0.73086299408815</v>
      </c>
      <c r="AV112" s="5" t="n">
        <f aca="false">AV111+LN(1+($G112+AV$7)*$AM112)</f>
        <v>0.733420920022898</v>
      </c>
      <c r="AW112" s="5" t="n">
        <f aca="false">AW111+LN(1+($G112+AW$7)*$AM112)</f>
        <v>0.730862994154729</v>
      </c>
      <c r="AX112" s="5" t="n">
        <f aca="false">AX111+LN(1+($G112+AX$7)*$AM112)</f>
        <v>0.733420920089481</v>
      </c>
      <c r="AY112" s="5" t="n">
        <f aca="false">AY111+LN(1+($G112+AY$7)*$AM112)</f>
        <v>0.730862994154716</v>
      </c>
      <c r="AZ112" s="5" t="n">
        <f aca="false">AZ111+LN(1+($G112+AZ$7)*$AM112)</f>
        <v>0.733420920089458</v>
      </c>
      <c r="BA112" s="5" t="n">
        <f aca="false">BA111+LN(1+($G112+BA$7)*$AM112)</f>
        <v>0.730862994154716</v>
      </c>
      <c r="BB112" s="5" t="n">
        <f aca="false">BB111+LN(1+($G112+BB$7)*$AM112)</f>
        <v>0.733420920089458</v>
      </c>
      <c r="BC112" s="5" t="n">
        <f aca="false">BC111+LN(1+($G112+BC$7)*$AM112)</f>
        <v>0.730862994154716</v>
      </c>
      <c r="BD112" s="5" t="n">
        <f aca="false">BD111+LN(1+($G112+BD$7)*$AM112)</f>
        <v>0.733420920089458</v>
      </c>
      <c r="BE112" s="5" t="n">
        <f aca="false">IF(AB112,O112,IF(D112,MIN(O112,AC112*X112+BF111),0))</f>
        <v>0</v>
      </c>
      <c r="BF112" s="5" t="n">
        <f aca="false">IF(OR(AB112,E112),0,BE112-AD112)</f>
        <v>0</v>
      </c>
      <c r="BG112" s="5" t="n">
        <f aca="false">BG111+LN(1+($G112+BG$7)*$AM112)</f>
        <v>0.705280199180103</v>
      </c>
      <c r="BH112" s="5"/>
      <c r="BI112" s="5" t="n">
        <f aca="false">BI111+LN(1+($G112+BI$7)*$AM112)</f>
        <v>0.756439361686561</v>
      </c>
      <c r="BJ112" s="5"/>
      <c r="BK112" s="62" t="n">
        <f aca="false">C112</f>
        <v>55564</v>
      </c>
      <c r="BL112" s="67" t="n">
        <f aca="false">AI112</f>
        <v>0</v>
      </c>
    </row>
    <row r="113" customFormat="false" ht="15" hidden="false" customHeight="true" outlineLevel="0" collapsed="false">
      <c r="A113" s="3" t="n">
        <v>103</v>
      </c>
      <c r="B113" s="38" t="n">
        <f aca="false">EDATE(Inputs!$C$8,3*(A113-1))</f>
        <v>55654</v>
      </c>
      <c r="C113" s="38" t="n">
        <f aca="false">WORKDAY(B113-1,1)</f>
        <v>55654</v>
      </c>
      <c r="D113" s="61" t="b">
        <f aca="false">C113&lt;=Inputs!$C$9</f>
        <v>1</v>
      </c>
      <c r="E113" s="61" t="b">
        <f aca="false">AND(D113,NOT(D114))</f>
        <v>0</v>
      </c>
      <c r="F113" s="63" t="n">
        <f aca="false">(C113-C112)/360</f>
        <v>0.25</v>
      </c>
      <c r="G113" s="57" t="n">
        <f aca="false">Curve!D106</f>
        <v>0.02252</v>
      </c>
      <c r="H113" s="64" t="n">
        <f aca="false">AF112</f>
        <v>0</v>
      </c>
      <c r="I113" s="64" t="n">
        <f aca="false">IF(D113,H113*Inputs!$G$22,0)</f>
        <v>0</v>
      </c>
      <c r="J113" s="32" t="n">
        <f aca="false">MAX(Inputs!$G$24-(A113-1),1)</f>
        <v>1</v>
      </c>
      <c r="K113" s="64" t="n">
        <f aca="false">IF(D113,MIN(H113-I113,IF(J113&gt;1,(H113-I113)*Inputs!$G$23/((1+Inputs!$G$23)^J113-1),H113-I113)),0)</f>
        <v>0</v>
      </c>
      <c r="L113" s="64" t="n">
        <f aca="false">IF(D113,(H113-I113-K113)*Inputs!$G$21,0)</f>
        <v>0</v>
      </c>
      <c r="M113" s="64" t="n">
        <f aca="false">IF(A113&gt;Inputs!$G$13,(1-Inputs!$G$12)*INDEX($I$11:$I$190,A113-Inputs!$G$13),0)</f>
        <v>0</v>
      </c>
      <c r="N113" s="64" t="n">
        <f aca="false">IF(D113,(H113-I113)*Inputs!$G$23,0)</f>
        <v>0</v>
      </c>
      <c r="O113" s="64" t="n">
        <f aca="false">AG112</f>
        <v>0</v>
      </c>
      <c r="P113" s="64" t="n">
        <f aca="false">AH112</f>
        <v>256983.980657201</v>
      </c>
      <c r="Q113" s="64" t="n">
        <f aca="false">IF(AND(D113,O113+P113&gt;0),Inputs!$C$25+Inputs!$C$26*H113/4,0)</f>
        <v>100000</v>
      </c>
      <c r="R113" s="64" t="n">
        <f aca="false">O113*IF(Inputs!$G$19="",G113+Inputs!$C$13,MAX(Inputs!$G$19,G113+Inputs!$C$13))*F113</f>
        <v>0</v>
      </c>
      <c r="S113" s="64" t="n">
        <f aca="false">P113*(G113+Inputs!$C$14)*F113</f>
        <v>1900.56413520826</v>
      </c>
      <c r="T113" s="64" t="n">
        <f aca="false">N113+M113-Q113-R113-S113</f>
        <v>-101900.564135208</v>
      </c>
      <c r="U113" s="64" t="n">
        <f aca="false">W112</f>
        <v>260422.420657149</v>
      </c>
      <c r="V113" s="64" t="n">
        <f aca="false">MIN(U113+I113,MAX(T113,0))</f>
        <v>0</v>
      </c>
      <c r="W113" s="64" t="n">
        <f aca="false">U113+I113-V113</f>
        <v>260422.420657149</v>
      </c>
      <c r="X113" s="64" t="n">
        <f aca="false">K113+L113+V113+IF(E113,H113-I113-K113-L113,0)</f>
        <v>0</v>
      </c>
      <c r="Y113" s="61" t="b">
        <f aca="false">AND(Inputs!$C$21=1,O113/Inputs!$C$10&lt;=Inputs!$C$22,Inputs!$G$14&lt;Inputs!$C$23,W113&lt;1)</f>
        <v>0</v>
      </c>
      <c r="Z113" s="61" t="b">
        <f aca="false">OR(AND(Inputs!$G$15=1,H113/Inputs!$C$17&lt;=Inputs!$C$24),AND(Inputs!$G$15=2,C113&gt;=Inputs!$G$16))</f>
        <v>0</v>
      </c>
      <c r="AA113" s="61" t="b">
        <f aca="false">OR(AA112,Z113)</f>
        <v>0</v>
      </c>
      <c r="AB113" s="61" t="b">
        <f aca="false">AND(Z113,NOT(AA112),D113,O113&gt;0)</f>
        <v>0</v>
      </c>
      <c r="AC113" s="63" t="n">
        <f aca="false">IF(AND(Y113,NOT(E113),O113+P113&gt;0),O113/(O113+P113),1)</f>
        <v>1</v>
      </c>
      <c r="AD113" s="64" t="n">
        <f aca="false">IF(AB113,O113,IF(D113,MIN(O113,IF(E113,AC113*X113+BF112,BE113*Inputs!$G$20)),0))</f>
        <v>0</v>
      </c>
      <c r="AE113" s="64" t="n">
        <f aca="false">IF(AB113,P113,IF(D113,MAX(MIN(P113,X113-MIN(O113,AC113*X113)),0),0))</f>
        <v>0</v>
      </c>
      <c r="AF113" s="64" t="n">
        <f aca="false">IF(OR(AB113,E113),0,MAX(H113-I113-K113-L113,0))</f>
        <v>0</v>
      </c>
      <c r="AG113" s="64" t="n">
        <f aca="false">IF(E113,0,O113-AD113)</f>
        <v>0</v>
      </c>
      <c r="AH113" s="64" t="n">
        <f aca="false">IF(OR(AB113,E113),0,P113-AE113)</f>
        <v>256983.980657201</v>
      </c>
      <c r="AI113" s="64" t="n">
        <f aca="false">IF(D113,R113+AD113,0)</f>
        <v>0</v>
      </c>
      <c r="AJ113" s="65" t="n">
        <f aca="false">(C113-Inputs!$G$6)/365</f>
        <v>25.6575342465753</v>
      </c>
      <c r="AK113" s="29" t="n">
        <f aca="false">AG113/Inputs!$C$10</f>
        <v>0</v>
      </c>
      <c r="AL113" s="5"/>
      <c r="AM113" s="66" t="n">
        <f aca="false">F113</f>
        <v>0.25</v>
      </c>
      <c r="AN113" s="5"/>
      <c r="AO113" s="5" t="n">
        <f aca="false">AO112+LN(1+($G113+AO$7)*$AM113)</f>
        <v>0.651400670769751</v>
      </c>
      <c r="AP113" s="5" t="n">
        <f aca="false">AP112+LN(1+($G113+AP$7)*$AM113)</f>
        <v>0.653985595205372</v>
      </c>
      <c r="AQ113" s="5" t="n">
        <f aca="false">AQ112+LN(1+($G113+AQ$7)*$AM113)</f>
        <v>0.73701659747541</v>
      </c>
      <c r="AR113" s="5" t="n">
        <f aca="false">AR112+LN(1+($G113+AR$7)*$AM113)</f>
        <v>0.739599370005453</v>
      </c>
      <c r="AS113" s="5" t="n">
        <f aca="false">AS112+LN(1+($G113+AS$7)*$AM113)</f>
        <v>0.73795543625011</v>
      </c>
      <c r="AT113" s="5" t="n">
        <f aca="false">AT112+LN(1+($G113+AT$7)*$AM113)</f>
        <v>0.740538185192951</v>
      </c>
      <c r="AU113" s="5" t="n">
        <f aca="false">AU112+LN(1+($G113+AU$7)*$AM113)</f>
        <v>0.737955235799101</v>
      </c>
      <c r="AV113" s="5" t="n">
        <f aca="false">AV112+LN(1+($G113+AV$7)*$AM113)</f>
        <v>0.740537984746977</v>
      </c>
      <c r="AW113" s="5" t="n">
        <f aca="false">AW112+LN(1+($G113+AW$7)*$AM113)</f>
        <v>0.737955235866326</v>
      </c>
      <c r="AX113" s="5" t="n">
        <f aca="false">AX112+LN(1+($G113+AX$7)*$AM113)</f>
        <v>0.740537984814207</v>
      </c>
      <c r="AY113" s="5" t="n">
        <f aca="false">AY112+LN(1+($G113+AY$7)*$AM113)</f>
        <v>0.737955235866314</v>
      </c>
      <c r="AZ113" s="5" t="n">
        <f aca="false">AZ112+LN(1+($G113+AZ$7)*$AM113)</f>
        <v>0.740537984814184</v>
      </c>
      <c r="BA113" s="5" t="n">
        <f aca="false">BA112+LN(1+($G113+BA$7)*$AM113)</f>
        <v>0.737955235866314</v>
      </c>
      <c r="BB113" s="5" t="n">
        <f aca="false">BB112+LN(1+($G113+BB$7)*$AM113)</f>
        <v>0.740537984814184</v>
      </c>
      <c r="BC113" s="5" t="n">
        <f aca="false">BC112+LN(1+($G113+BC$7)*$AM113)</f>
        <v>0.737955235866314</v>
      </c>
      <c r="BD113" s="5" t="n">
        <f aca="false">BD112+LN(1+($G113+BD$7)*$AM113)</f>
        <v>0.740537984814184</v>
      </c>
      <c r="BE113" s="5" t="n">
        <f aca="false">IF(AB113,O113,IF(D113,MIN(O113,AC113*X113+BF112),0))</f>
        <v>0</v>
      </c>
      <c r="BF113" s="5" t="n">
        <f aca="false">IF(OR(AB113,E113),0,BE113-AD113)</f>
        <v>0</v>
      </c>
      <c r="BG113" s="5" t="n">
        <f aca="false">BG112+LN(1+($G113+BG$7)*$AM113)</f>
        <v>0.712124176864515</v>
      </c>
      <c r="BH113" s="5"/>
      <c r="BI113" s="5" t="n">
        <f aca="false">BI112+LN(1+($G113+BI$7)*$AM113)</f>
        <v>0.763779805805613</v>
      </c>
      <c r="BJ113" s="5"/>
      <c r="BK113" s="62" t="n">
        <f aca="false">C113</f>
        <v>55654</v>
      </c>
      <c r="BL113" s="67" t="n">
        <f aca="false">AI113</f>
        <v>0</v>
      </c>
    </row>
    <row r="114" customFormat="false" ht="15" hidden="false" customHeight="true" outlineLevel="0" collapsed="false">
      <c r="A114" s="3" t="n">
        <v>104</v>
      </c>
      <c r="B114" s="38" t="n">
        <f aca="false">EDATE(Inputs!$C$8,3*(A114-1))</f>
        <v>55746</v>
      </c>
      <c r="C114" s="38" t="n">
        <f aca="false">WORKDAY(B114-1,1)</f>
        <v>55746</v>
      </c>
      <c r="D114" s="61" t="b">
        <f aca="false">C114&lt;=Inputs!$C$9</f>
        <v>1</v>
      </c>
      <c r="E114" s="61" t="b">
        <f aca="false">AND(D114,NOT(D115))</f>
        <v>0</v>
      </c>
      <c r="F114" s="63" t="n">
        <f aca="false">(C114-C113)/360</f>
        <v>0.255555555555556</v>
      </c>
      <c r="G114" s="57" t="n">
        <f aca="false">Curve!D107</f>
        <v>0.02252</v>
      </c>
      <c r="H114" s="64" t="n">
        <f aca="false">AF113</f>
        <v>0</v>
      </c>
      <c r="I114" s="64" t="n">
        <f aca="false">IF(D114,H114*Inputs!$G$22,0)</f>
        <v>0</v>
      </c>
      <c r="J114" s="32" t="n">
        <f aca="false">MAX(Inputs!$G$24-(A114-1),1)</f>
        <v>1</v>
      </c>
      <c r="K114" s="64" t="n">
        <f aca="false">IF(D114,MIN(H114-I114,IF(J114&gt;1,(H114-I114)*Inputs!$G$23/((1+Inputs!$G$23)^J114-1),H114-I114)),0)</f>
        <v>0</v>
      </c>
      <c r="L114" s="64" t="n">
        <f aca="false">IF(D114,(H114-I114-K114)*Inputs!$G$21,0)</f>
        <v>0</v>
      </c>
      <c r="M114" s="64" t="n">
        <f aca="false">IF(A114&gt;Inputs!$G$13,(1-Inputs!$G$12)*INDEX($I$11:$I$190,A114-Inputs!$G$13),0)</f>
        <v>0</v>
      </c>
      <c r="N114" s="64" t="n">
        <f aca="false">IF(D114,(H114-I114)*Inputs!$G$23,0)</f>
        <v>0</v>
      </c>
      <c r="O114" s="64" t="n">
        <f aca="false">AG113</f>
        <v>0</v>
      </c>
      <c r="P114" s="64" t="n">
        <f aca="false">AH113</f>
        <v>256983.980657201</v>
      </c>
      <c r="Q114" s="64" t="n">
        <f aca="false">IF(AND(D114,O114+P114&gt;0),Inputs!$C$25+Inputs!$C$26*H114/4,0)</f>
        <v>100000</v>
      </c>
      <c r="R114" s="64" t="n">
        <f aca="false">O114*IF(Inputs!$G$19="",G114+Inputs!$C$13,MAX(Inputs!$G$19,G114+Inputs!$C$13))*F114</f>
        <v>0</v>
      </c>
      <c r="S114" s="64" t="n">
        <f aca="false">P114*(G114+Inputs!$C$14)*F114</f>
        <v>1942.79889376844</v>
      </c>
      <c r="T114" s="64" t="n">
        <f aca="false">N114+M114-Q114-R114-S114</f>
        <v>-101942.798893768</v>
      </c>
      <c r="U114" s="64" t="n">
        <f aca="false">W113</f>
        <v>260422.420657149</v>
      </c>
      <c r="V114" s="64" t="n">
        <f aca="false">MIN(U114+I114,MAX(T114,0))</f>
        <v>0</v>
      </c>
      <c r="W114" s="64" t="n">
        <f aca="false">U114+I114-V114</f>
        <v>260422.420657149</v>
      </c>
      <c r="X114" s="64" t="n">
        <f aca="false">K114+L114+V114+IF(E114,H114-I114-K114-L114,0)</f>
        <v>0</v>
      </c>
      <c r="Y114" s="61" t="b">
        <f aca="false">AND(Inputs!$C$21=1,O114/Inputs!$C$10&lt;=Inputs!$C$22,Inputs!$G$14&lt;Inputs!$C$23,W114&lt;1)</f>
        <v>0</v>
      </c>
      <c r="Z114" s="61" t="b">
        <f aca="false">OR(AND(Inputs!$G$15=1,H114/Inputs!$C$17&lt;=Inputs!$C$24),AND(Inputs!$G$15=2,C114&gt;=Inputs!$G$16))</f>
        <v>0</v>
      </c>
      <c r="AA114" s="61" t="b">
        <f aca="false">OR(AA113,Z114)</f>
        <v>0</v>
      </c>
      <c r="AB114" s="61" t="b">
        <f aca="false">AND(Z114,NOT(AA113),D114,O114&gt;0)</f>
        <v>0</v>
      </c>
      <c r="AC114" s="63" t="n">
        <f aca="false">IF(AND(Y114,NOT(E114),O114+P114&gt;0),O114/(O114+P114),1)</f>
        <v>1</v>
      </c>
      <c r="AD114" s="64" t="n">
        <f aca="false">IF(AB114,O114,IF(D114,MIN(O114,IF(E114,AC114*X114+BF113,BE114*Inputs!$G$20)),0))</f>
        <v>0</v>
      </c>
      <c r="AE114" s="64" t="n">
        <f aca="false">IF(AB114,P114,IF(D114,MAX(MIN(P114,X114-MIN(O114,AC114*X114)),0),0))</f>
        <v>0</v>
      </c>
      <c r="AF114" s="64" t="n">
        <f aca="false">IF(OR(AB114,E114),0,MAX(H114-I114-K114-L114,0))</f>
        <v>0</v>
      </c>
      <c r="AG114" s="64" t="n">
        <f aca="false">IF(E114,0,O114-AD114)</f>
        <v>0</v>
      </c>
      <c r="AH114" s="64" t="n">
        <f aca="false">IF(OR(AB114,E114),0,P114-AE114)</f>
        <v>256983.980657201</v>
      </c>
      <c r="AI114" s="64" t="n">
        <f aca="false">IF(D114,R114+AD114,0)</f>
        <v>0</v>
      </c>
      <c r="AJ114" s="65" t="n">
        <f aca="false">(C114-Inputs!$G$6)/365</f>
        <v>25.9095890410959</v>
      </c>
      <c r="AK114" s="29" t="n">
        <f aca="false">AG114/Inputs!$C$10</f>
        <v>0</v>
      </c>
      <c r="AL114" s="5"/>
      <c r="AM114" s="66" t="n">
        <f aca="false">F114</f>
        <v>0.255555555555556</v>
      </c>
      <c r="AN114" s="5"/>
      <c r="AO114" s="5" t="n">
        <f aca="false">AO113+LN(1+($G114+AO$7)*$AM114)</f>
        <v>0.657799708740909</v>
      </c>
      <c r="AP114" s="5" t="n">
        <f aca="false">AP113+LN(1+($G114+AP$7)*$AM114)</f>
        <v>0.660410025400835</v>
      </c>
      <c r="AQ114" s="5" t="n">
        <f aca="false">AQ113+LN(1+($G114+AQ$7)*$AM114)</f>
        <v>0.744256654302891</v>
      </c>
      <c r="AR114" s="5" t="n">
        <f aca="false">AR113+LN(1+($G114+AR$7)*$AM114)</f>
        <v>0.746864797711149</v>
      </c>
      <c r="AS114" s="5" t="n">
        <f aca="false">AS113+LN(1+($G114+AS$7)*$AM114)</f>
        <v>0.745204715401976</v>
      </c>
      <c r="AT114" s="5" t="n">
        <f aca="false">AT113+LN(1+($G114+AT$7)*$AM114)</f>
        <v>0.747812834989058</v>
      </c>
      <c r="AU114" s="5" t="n">
        <f aca="false">AU113+LN(1+($G114+AU$7)*$AM114)</f>
        <v>0.745204512981913</v>
      </c>
      <c r="AV114" s="5" t="n">
        <f aca="false">AV113+LN(1+($G114+AV$7)*$AM114)</f>
        <v>0.74781263257408</v>
      </c>
      <c r="AW114" s="5" t="n">
        <f aca="false">AW113+LN(1+($G114+AW$7)*$AM114)</f>
        <v>0.745204513049799</v>
      </c>
      <c r="AX114" s="5" t="n">
        <f aca="false">AX113+LN(1+($G114+AX$7)*$AM114)</f>
        <v>0.74781263264197</v>
      </c>
      <c r="AY114" s="5" t="n">
        <f aca="false">AY113+LN(1+($G114+AY$7)*$AM114)</f>
        <v>0.745204513049786</v>
      </c>
      <c r="AZ114" s="5" t="n">
        <f aca="false">AZ113+LN(1+($G114+AZ$7)*$AM114)</f>
        <v>0.747812632641947</v>
      </c>
      <c r="BA114" s="5" t="n">
        <f aca="false">BA113+LN(1+($G114+BA$7)*$AM114)</f>
        <v>0.745204513049786</v>
      </c>
      <c r="BB114" s="5" t="n">
        <f aca="false">BB113+LN(1+($G114+BB$7)*$AM114)</f>
        <v>0.747812632641947</v>
      </c>
      <c r="BC114" s="5" t="n">
        <f aca="false">BC113+LN(1+($G114+BC$7)*$AM114)</f>
        <v>0.745204513049786</v>
      </c>
      <c r="BD114" s="5" t="n">
        <f aca="false">BD113+LN(1+($G114+BD$7)*$AM114)</f>
        <v>0.747812632641947</v>
      </c>
      <c r="BE114" s="5" t="n">
        <f aca="false">IF(AB114,O114,IF(D114,MIN(O114,AC114*X114+BF113),0))</f>
        <v>0</v>
      </c>
      <c r="BF114" s="5" t="n">
        <f aca="false">IF(OR(AB114,E114),0,BE114-AD114)</f>
        <v>0</v>
      </c>
      <c r="BG114" s="5" t="n">
        <f aca="false">BG113+LN(1+($G114+BG$7)*$AM114)</f>
        <v>0.719119712196966</v>
      </c>
      <c r="BH114" s="5"/>
      <c r="BI114" s="5" t="n">
        <f aca="false">BI113+LN(1+($G114+BI$7)*$AM114)</f>
        <v>0.771282760471513</v>
      </c>
      <c r="BJ114" s="5"/>
      <c r="BK114" s="62" t="n">
        <f aca="false">C114</f>
        <v>55746</v>
      </c>
      <c r="BL114" s="67" t="n">
        <f aca="false">AI114</f>
        <v>0</v>
      </c>
    </row>
    <row r="115" customFormat="false" ht="15" hidden="false" customHeight="true" outlineLevel="0" collapsed="false">
      <c r="A115" s="3" t="n">
        <v>105</v>
      </c>
      <c r="B115" s="38" t="n">
        <f aca="false">EDATE(Inputs!$C$8,3*(A115-1))</f>
        <v>55838</v>
      </c>
      <c r="C115" s="38" t="n">
        <f aca="false">WORKDAY(B115-1,1)</f>
        <v>55838</v>
      </c>
      <c r="D115" s="61" t="b">
        <f aca="false">C115&lt;=Inputs!$C$9</f>
        <v>1</v>
      </c>
      <c r="E115" s="61" t="b">
        <f aca="false">AND(D115,NOT(D116))</f>
        <v>0</v>
      </c>
      <c r="F115" s="63" t="n">
        <f aca="false">(C115-C114)/360</f>
        <v>0.255555555555556</v>
      </c>
      <c r="G115" s="57" t="n">
        <f aca="false">Curve!D108</f>
        <v>0.02252</v>
      </c>
      <c r="H115" s="64" t="n">
        <f aca="false">AF114</f>
        <v>0</v>
      </c>
      <c r="I115" s="64" t="n">
        <f aca="false">IF(D115,H115*Inputs!$G$22,0)</f>
        <v>0</v>
      </c>
      <c r="J115" s="32" t="n">
        <f aca="false">MAX(Inputs!$G$24-(A115-1),1)</f>
        <v>1</v>
      </c>
      <c r="K115" s="64" t="n">
        <f aca="false">IF(D115,MIN(H115-I115,IF(J115&gt;1,(H115-I115)*Inputs!$G$23/((1+Inputs!$G$23)^J115-1),H115-I115)),0)</f>
        <v>0</v>
      </c>
      <c r="L115" s="64" t="n">
        <f aca="false">IF(D115,(H115-I115-K115)*Inputs!$G$21,0)</f>
        <v>0</v>
      </c>
      <c r="M115" s="64" t="n">
        <f aca="false">IF(A115&gt;Inputs!$G$13,(1-Inputs!$G$12)*INDEX($I$11:$I$190,A115-Inputs!$G$13),0)</f>
        <v>0</v>
      </c>
      <c r="N115" s="64" t="n">
        <f aca="false">IF(D115,(H115-I115)*Inputs!$G$23,0)</f>
        <v>0</v>
      </c>
      <c r="O115" s="64" t="n">
        <f aca="false">AG114</f>
        <v>0</v>
      </c>
      <c r="P115" s="64" t="n">
        <f aca="false">AH114</f>
        <v>256983.980657201</v>
      </c>
      <c r="Q115" s="64" t="n">
        <f aca="false">IF(AND(D115,O115+P115&gt;0),Inputs!$C$25+Inputs!$C$26*H115/4,0)</f>
        <v>100000</v>
      </c>
      <c r="R115" s="64" t="n">
        <f aca="false">O115*IF(Inputs!$G$19="",G115+Inputs!$C$13,MAX(Inputs!$G$19,G115+Inputs!$C$13))*F115</f>
        <v>0</v>
      </c>
      <c r="S115" s="64" t="n">
        <f aca="false">P115*(G115+Inputs!$C$14)*F115</f>
        <v>1942.79889376844</v>
      </c>
      <c r="T115" s="64" t="n">
        <f aca="false">N115+M115-Q115-R115-S115</f>
        <v>-101942.798893768</v>
      </c>
      <c r="U115" s="64" t="n">
        <f aca="false">W114</f>
        <v>260422.420657149</v>
      </c>
      <c r="V115" s="64" t="n">
        <f aca="false">MIN(U115+I115,MAX(T115,0))</f>
        <v>0</v>
      </c>
      <c r="W115" s="64" t="n">
        <f aca="false">U115+I115-V115</f>
        <v>260422.420657149</v>
      </c>
      <c r="X115" s="64" t="n">
        <f aca="false">K115+L115+V115+IF(E115,H115-I115-K115-L115,0)</f>
        <v>0</v>
      </c>
      <c r="Y115" s="61" t="b">
        <f aca="false">AND(Inputs!$C$21=1,O115/Inputs!$C$10&lt;=Inputs!$C$22,Inputs!$G$14&lt;Inputs!$C$23,W115&lt;1)</f>
        <v>0</v>
      </c>
      <c r="Z115" s="61" t="b">
        <f aca="false">OR(AND(Inputs!$G$15=1,H115/Inputs!$C$17&lt;=Inputs!$C$24),AND(Inputs!$G$15=2,C115&gt;=Inputs!$G$16))</f>
        <v>0</v>
      </c>
      <c r="AA115" s="61" t="b">
        <f aca="false">OR(AA114,Z115)</f>
        <v>0</v>
      </c>
      <c r="AB115" s="61" t="b">
        <f aca="false">AND(Z115,NOT(AA114),D115,O115&gt;0)</f>
        <v>0</v>
      </c>
      <c r="AC115" s="63" t="n">
        <f aca="false">IF(AND(Y115,NOT(E115),O115+P115&gt;0),O115/(O115+P115),1)</f>
        <v>1</v>
      </c>
      <c r="AD115" s="64" t="n">
        <f aca="false">IF(AB115,O115,IF(D115,MIN(O115,IF(E115,AC115*X115+BF114,BE115*Inputs!$G$20)),0))</f>
        <v>0</v>
      </c>
      <c r="AE115" s="64" t="n">
        <f aca="false">IF(AB115,P115,IF(D115,MAX(MIN(P115,X115-MIN(O115,AC115*X115)),0),0))</f>
        <v>0</v>
      </c>
      <c r="AF115" s="64" t="n">
        <f aca="false">IF(OR(AB115,E115),0,MAX(H115-I115-K115-L115,0))</f>
        <v>0</v>
      </c>
      <c r="AG115" s="64" t="n">
        <f aca="false">IF(E115,0,O115-AD115)</f>
        <v>0</v>
      </c>
      <c r="AH115" s="64" t="n">
        <f aca="false">IF(OR(AB115,E115),0,P115-AE115)</f>
        <v>256983.980657201</v>
      </c>
      <c r="AI115" s="64" t="n">
        <f aca="false">IF(D115,R115+AD115,0)</f>
        <v>0</v>
      </c>
      <c r="AJ115" s="65" t="n">
        <f aca="false">(C115-Inputs!$G$6)/365</f>
        <v>26.1616438356164</v>
      </c>
      <c r="AK115" s="29" t="n">
        <f aca="false">AG115/Inputs!$C$10</f>
        <v>0</v>
      </c>
      <c r="AL115" s="5"/>
      <c r="AM115" s="66" t="n">
        <f aca="false">F115</f>
        <v>0.255555555555556</v>
      </c>
      <c r="AN115" s="5"/>
      <c r="AO115" s="5" t="n">
        <f aca="false">AO114+LN(1+($G115+AO$7)*$AM115)</f>
        <v>0.664198746712066</v>
      </c>
      <c r="AP115" s="5" t="n">
        <f aca="false">AP114+LN(1+($G115+AP$7)*$AM115)</f>
        <v>0.666834455596299</v>
      </c>
      <c r="AQ115" s="5" t="n">
        <f aca="false">AQ114+LN(1+($G115+AQ$7)*$AM115)</f>
        <v>0.751496711130371</v>
      </c>
      <c r="AR115" s="5" t="n">
        <f aca="false">AR114+LN(1+($G115+AR$7)*$AM115)</f>
        <v>0.754130225416845</v>
      </c>
      <c r="AS115" s="5" t="n">
        <f aca="false">AS114+LN(1+($G115+AS$7)*$AM115)</f>
        <v>0.752453994553842</v>
      </c>
      <c r="AT115" s="5" t="n">
        <f aca="false">AT114+LN(1+($G115+AT$7)*$AM115)</f>
        <v>0.755087484785165</v>
      </c>
      <c r="AU115" s="5" t="n">
        <f aca="false">AU114+LN(1+($G115+AU$7)*$AM115)</f>
        <v>0.752453790164726</v>
      </c>
      <c r="AV115" s="5" t="n">
        <f aca="false">AV114+LN(1+($G115+AV$7)*$AM115)</f>
        <v>0.755087280401183</v>
      </c>
      <c r="AW115" s="5" t="n">
        <f aca="false">AW114+LN(1+($G115+AW$7)*$AM115)</f>
        <v>0.752453790233271</v>
      </c>
      <c r="AX115" s="5" t="n">
        <f aca="false">AX114+LN(1+($G115+AX$7)*$AM115)</f>
        <v>0.755087280469733</v>
      </c>
      <c r="AY115" s="5" t="n">
        <f aca="false">AY114+LN(1+($G115+AY$7)*$AM115)</f>
        <v>0.752453790233259</v>
      </c>
      <c r="AZ115" s="5" t="n">
        <f aca="false">AZ114+LN(1+($G115+AZ$7)*$AM115)</f>
        <v>0.75508728046971</v>
      </c>
      <c r="BA115" s="5" t="n">
        <f aca="false">BA114+LN(1+($G115+BA$7)*$AM115)</f>
        <v>0.752453790233259</v>
      </c>
      <c r="BB115" s="5" t="n">
        <f aca="false">BB114+LN(1+($G115+BB$7)*$AM115)</f>
        <v>0.75508728046971</v>
      </c>
      <c r="BC115" s="5" t="n">
        <f aca="false">BC114+LN(1+($G115+BC$7)*$AM115)</f>
        <v>0.752453790233259</v>
      </c>
      <c r="BD115" s="5" t="n">
        <f aca="false">BD114+LN(1+($G115+BD$7)*$AM115)</f>
        <v>0.75508728046971</v>
      </c>
      <c r="BE115" s="5" t="n">
        <f aca="false">IF(AB115,O115,IF(D115,MIN(O115,AC115*X115+BF114),0))</f>
        <v>0</v>
      </c>
      <c r="BF115" s="5" t="n">
        <f aca="false">IF(OR(AB115,E115),0,BE115-AD115)</f>
        <v>0</v>
      </c>
      <c r="BG115" s="5" t="n">
        <f aca="false">BG114+LN(1+($G115+BG$7)*$AM115)</f>
        <v>0.726115247529417</v>
      </c>
      <c r="BH115" s="5"/>
      <c r="BI115" s="5" t="n">
        <f aca="false">BI114+LN(1+($G115+BI$7)*$AM115)</f>
        <v>0.778785715137413</v>
      </c>
      <c r="BJ115" s="5"/>
      <c r="BK115" s="62" t="n">
        <f aca="false">C115</f>
        <v>55838</v>
      </c>
      <c r="BL115" s="67" t="n">
        <f aca="false">AI115</f>
        <v>0</v>
      </c>
    </row>
    <row r="116" customFormat="false" ht="15" hidden="false" customHeight="true" outlineLevel="0" collapsed="false">
      <c r="A116" s="3" t="n">
        <v>106</v>
      </c>
      <c r="B116" s="38" t="n">
        <f aca="false">EDATE(Inputs!$C$8,3*(A116-1))</f>
        <v>55930</v>
      </c>
      <c r="C116" s="38" t="n">
        <f aca="false">WORKDAY(B116-1,1)</f>
        <v>55932</v>
      </c>
      <c r="D116" s="61" t="b">
        <f aca="false">C116&lt;=Inputs!$C$9</f>
        <v>1</v>
      </c>
      <c r="E116" s="61" t="b">
        <f aca="false">AND(D116,NOT(D117))</f>
        <v>0</v>
      </c>
      <c r="F116" s="63" t="n">
        <f aca="false">(C116-C115)/360</f>
        <v>0.261111111111111</v>
      </c>
      <c r="G116" s="57" t="n">
        <f aca="false">Curve!D109</f>
        <v>0.02252</v>
      </c>
      <c r="H116" s="64" t="n">
        <f aca="false">AF115</f>
        <v>0</v>
      </c>
      <c r="I116" s="64" t="n">
        <f aca="false">IF(D116,H116*Inputs!$G$22,0)</f>
        <v>0</v>
      </c>
      <c r="J116" s="32" t="n">
        <f aca="false">MAX(Inputs!$G$24-(A116-1),1)</f>
        <v>1</v>
      </c>
      <c r="K116" s="64" t="n">
        <f aca="false">IF(D116,MIN(H116-I116,IF(J116&gt;1,(H116-I116)*Inputs!$G$23/((1+Inputs!$G$23)^J116-1),H116-I116)),0)</f>
        <v>0</v>
      </c>
      <c r="L116" s="64" t="n">
        <f aca="false">IF(D116,(H116-I116-K116)*Inputs!$G$21,0)</f>
        <v>0</v>
      </c>
      <c r="M116" s="64" t="n">
        <f aca="false">IF(A116&gt;Inputs!$G$13,(1-Inputs!$G$12)*INDEX($I$11:$I$190,A116-Inputs!$G$13),0)</f>
        <v>0</v>
      </c>
      <c r="N116" s="64" t="n">
        <f aca="false">IF(D116,(H116-I116)*Inputs!$G$23,0)</f>
        <v>0</v>
      </c>
      <c r="O116" s="64" t="n">
        <f aca="false">AG115</f>
        <v>0</v>
      </c>
      <c r="P116" s="64" t="n">
        <f aca="false">AH115</f>
        <v>256983.980657201</v>
      </c>
      <c r="Q116" s="64" t="n">
        <f aca="false">IF(AND(D116,O116+P116&gt;0),Inputs!$C$25+Inputs!$C$26*H116/4,0)</f>
        <v>100000</v>
      </c>
      <c r="R116" s="64" t="n">
        <f aca="false">O116*IF(Inputs!$G$19="",G116+Inputs!$C$13,MAX(Inputs!$G$19,G116+Inputs!$C$13))*F116</f>
        <v>0</v>
      </c>
      <c r="S116" s="64" t="n">
        <f aca="false">P116*(G116+Inputs!$C$14)*F116</f>
        <v>1985.03365232862</v>
      </c>
      <c r="T116" s="64" t="n">
        <f aca="false">N116+M116-Q116-R116-S116</f>
        <v>-101985.033652329</v>
      </c>
      <c r="U116" s="64" t="n">
        <f aca="false">W115</f>
        <v>260422.420657149</v>
      </c>
      <c r="V116" s="64" t="n">
        <f aca="false">MIN(U116+I116,MAX(T116,0))</f>
        <v>0</v>
      </c>
      <c r="W116" s="64" t="n">
        <f aca="false">U116+I116-V116</f>
        <v>260422.420657149</v>
      </c>
      <c r="X116" s="64" t="n">
        <f aca="false">K116+L116+V116+IF(E116,H116-I116-K116-L116,0)</f>
        <v>0</v>
      </c>
      <c r="Y116" s="61" t="b">
        <f aca="false">AND(Inputs!$C$21=1,O116/Inputs!$C$10&lt;=Inputs!$C$22,Inputs!$G$14&lt;Inputs!$C$23,W116&lt;1)</f>
        <v>0</v>
      </c>
      <c r="Z116" s="61" t="b">
        <f aca="false">OR(AND(Inputs!$G$15=1,H116/Inputs!$C$17&lt;=Inputs!$C$24),AND(Inputs!$G$15=2,C116&gt;=Inputs!$G$16))</f>
        <v>0</v>
      </c>
      <c r="AA116" s="61" t="b">
        <f aca="false">OR(AA115,Z116)</f>
        <v>0</v>
      </c>
      <c r="AB116" s="61" t="b">
        <f aca="false">AND(Z116,NOT(AA115),D116,O116&gt;0)</f>
        <v>0</v>
      </c>
      <c r="AC116" s="63" t="n">
        <f aca="false">IF(AND(Y116,NOT(E116),O116+P116&gt;0),O116/(O116+P116),1)</f>
        <v>1</v>
      </c>
      <c r="AD116" s="64" t="n">
        <f aca="false">IF(AB116,O116,IF(D116,MIN(O116,IF(E116,AC116*X116+BF115,BE116*Inputs!$G$20)),0))</f>
        <v>0</v>
      </c>
      <c r="AE116" s="64" t="n">
        <f aca="false">IF(AB116,P116,IF(D116,MAX(MIN(P116,X116-MIN(O116,AC116*X116)),0),0))</f>
        <v>0</v>
      </c>
      <c r="AF116" s="64" t="n">
        <f aca="false">IF(OR(AB116,E116),0,MAX(H116-I116-K116-L116,0))</f>
        <v>0</v>
      </c>
      <c r="AG116" s="64" t="n">
        <f aca="false">IF(E116,0,O116-AD116)</f>
        <v>0</v>
      </c>
      <c r="AH116" s="64" t="n">
        <f aca="false">IF(OR(AB116,E116),0,P116-AE116)</f>
        <v>256983.980657201</v>
      </c>
      <c r="AI116" s="64" t="n">
        <f aca="false">IF(D116,R116+AD116,0)</f>
        <v>0</v>
      </c>
      <c r="AJ116" s="65" t="n">
        <f aca="false">(C116-Inputs!$G$6)/365</f>
        <v>26.4191780821918</v>
      </c>
      <c r="AK116" s="29" t="n">
        <f aca="false">AG116/Inputs!$C$10</f>
        <v>0</v>
      </c>
      <c r="AL116" s="5"/>
      <c r="AM116" s="66" t="n">
        <f aca="false">F116</f>
        <v>0.261111111111111</v>
      </c>
      <c r="AN116" s="5"/>
      <c r="AO116" s="5" t="n">
        <f aca="false">AO115+LN(1+($G116+AO$7)*$AM116)</f>
        <v>0.670736440455478</v>
      </c>
      <c r="AP116" s="5" t="n">
        <f aca="false">AP115+LN(1+($G116+AP$7)*$AM116)</f>
        <v>0.673398089964712</v>
      </c>
      <c r="AQ116" s="5" t="n">
        <f aca="false">AQ115+LN(1+($G116+AQ$7)*$AM116)</f>
        <v>0.758893579809052</v>
      </c>
      <c r="AR116" s="5" t="n">
        <f aca="false">AR115+LN(1+($G116+AR$7)*$AM116)</f>
        <v>0.761553012442853</v>
      </c>
      <c r="AS116" s="5" t="n">
        <f aca="false">AS115+LN(1+($G116+AS$7)*$AM116)</f>
        <v>0.759860284563792</v>
      </c>
      <c r="AT116" s="5" t="n">
        <f aca="false">AT115+LN(1+($G116+AT$7)*$AM116)</f>
        <v>0.762519692898261</v>
      </c>
      <c r="AU116" s="5" t="n">
        <f aca="false">AU115+LN(1+($G116+AU$7)*$AM116)</f>
        <v>0.759860078163132</v>
      </c>
      <c r="AV116" s="5" t="n">
        <f aca="false">AV115+LN(1+($G116+AV$7)*$AM116)</f>
        <v>0.762519486502787</v>
      </c>
      <c r="AW116" s="5" t="n">
        <f aca="false">AW115+LN(1+($G116+AW$7)*$AM116)</f>
        <v>0.759860078232352</v>
      </c>
      <c r="AX116" s="5" t="n">
        <f aca="false">AX115+LN(1+($G116+AX$7)*$AM116)</f>
        <v>0.762519486572012</v>
      </c>
      <c r="AY116" s="5" t="n">
        <f aca="false">AY115+LN(1+($G116+AY$7)*$AM116)</f>
        <v>0.759860078232339</v>
      </c>
      <c r="AZ116" s="5" t="n">
        <f aca="false">AZ115+LN(1+($G116+AZ$7)*$AM116)</f>
        <v>0.762519486571989</v>
      </c>
      <c r="BA116" s="5" t="n">
        <f aca="false">BA115+LN(1+($G116+BA$7)*$AM116)</f>
        <v>0.759860078232339</v>
      </c>
      <c r="BB116" s="5" t="n">
        <f aca="false">BB115+LN(1+($G116+BB$7)*$AM116)</f>
        <v>0.762519486571989</v>
      </c>
      <c r="BC116" s="5" t="n">
        <f aca="false">BC115+LN(1+($G116+BC$7)*$AM116)</f>
        <v>0.759860078232339</v>
      </c>
      <c r="BD116" s="5" t="n">
        <f aca="false">BD115+LN(1+($G116+BD$7)*$AM116)</f>
        <v>0.762519486571989</v>
      </c>
      <c r="BE116" s="5" t="n">
        <f aca="false">IF(AB116,O116,IF(D116,MIN(O116,AC116*X116+BF115),0))</f>
        <v>0</v>
      </c>
      <c r="BF116" s="5" t="n">
        <f aca="false">IF(OR(AB116,E116),0,BE116-AD116)</f>
        <v>0</v>
      </c>
      <c r="BG116" s="5" t="n">
        <f aca="false">BG115+LN(1+($G116+BG$7)*$AM116)</f>
        <v>0.733262317543666</v>
      </c>
      <c r="BH116" s="5"/>
      <c r="BI116" s="5" t="n">
        <f aca="false">BI115+LN(1+($G116+BI$7)*$AM116)</f>
        <v>0.786451153944775</v>
      </c>
      <c r="BJ116" s="5"/>
      <c r="BK116" s="62" t="n">
        <f aca="false">C116</f>
        <v>55932</v>
      </c>
      <c r="BL116" s="67" t="n">
        <f aca="false">AI116</f>
        <v>0</v>
      </c>
    </row>
    <row r="117" customFormat="false" ht="15" hidden="false" customHeight="true" outlineLevel="0" collapsed="false">
      <c r="A117" s="3" t="n">
        <v>107</v>
      </c>
      <c r="B117" s="38" t="n">
        <f aca="false">EDATE(Inputs!$C$8,3*(A117-1))</f>
        <v>56019</v>
      </c>
      <c r="C117" s="38" t="n">
        <f aca="false">WORKDAY(B117-1,1)</f>
        <v>56019</v>
      </c>
      <c r="D117" s="61" t="b">
        <f aca="false">C117&lt;=Inputs!$C$9</f>
        <v>1</v>
      </c>
      <c r="E117" s="61" t="b">
        <f aca="false">AND(D117,NOT(D118))</f>
        <v>0</v>
      </c>
      <c r="F117" s="63" t="n">
        <f aca="false">(C117-C116)/360</f>
        <v>0.241666666666667</v>
      </c>
      <c r="G117" s="57" t="n">
        <f aca="false">Curve!D110</f>
        <v>0.02252</v>
      </c>
      <c r="H117" s="64" t="n">
        <f aca="false">AF116</f>
        <v>0</v>
      </c>
      <c r="I117" s="64" t="n">
        <f aca="false">IF(D117,H117*Inputs!$G$22,0)</f>
        <v>0</v>
      </c>
      <c r="J117" s="32" t="n">
        <f aca="false">MAX(Inputs!$G$24-(A117-1),1)</f>
        <v>1</v>
      </c>
      <c r="K117" s="64" t="n">
        <f aca="false">IF(D117,MIN(H117-I117,IF(J117&gt;1,(H117-I117)*Inputs!$G$23/((1+Inputs!$G$23)^J117-1),H117-I117)),0)</f>
        <v>0</v>
      </c>
      <c r="L117" s="64" t="n">
        <f aca="false">IF(D117,(H117-I117-K117)*Inputs!$G$21,0)</f>
        <v>0</v>
      </c>
      <c r="M117" s="64" t="n">
        <f aca="false">IF(A117&gt;Inputs!$G$13,(1-Inputs!$G$12)*INDEX($I$11:$I$190,A117-Inputs!$G$13),0)</f>
        <v>0</v>
      </c>
      <c r="N117" s="64" t="n">
        <f aca="false">IF(D117,(H117-I117)*Inputs!$G$23,0)</f>
        <v>0</v>
      </c>
      <c r="O117" s="64" t="n">
        <f aca="false">AG116</f>
        <v>0</v>
      </c>
      <c r="P117" s="64" t="n">
        <f aca="false">AH116</f>
        <v>256983.980657201</v>
      </c>
      <c r="Q117" s="64" t="n">
        <f aca="false">IF(AND(D117,O117+P117&gt;0),Inputs!$C$25+Inputs!$C$26*H117/4,0)</f>
        <v>100000</v>
      </c>
      <c r="R117" s="64" t="n">
        <f aca="false">O117*IF(Inputs!$G$19="",G117+Inputs!$C$13,MAX(Inputs!$G$19,G117+Inputs!$C$13))*F117</f>
        <v>0</v>
      </c>
      <c r="S117" s="64" t="n">
        <f aca="false">P117*(G117+Inputs!$C$14)*F117</f>
        <v>1837.21199736798</v>
      </c>
      <c r="T117" s="64" t="n">
        <f aca="false">N117+M117-Q117-R117-S117</f>
        <v>-101837.211997368</v>
      </c>
      <c r="U117" s="64" t="n">
        <f aca="false">W116</f>
        <v>260422.420657149</v>
      </c>
      <c r="V117" s="64" t="n">
        <f aca="false">MIN(U117+I117,MAX(T117,0))</f>
        <v>0</v>
      </c>
      <c r="W117" s="64" t="n">
        <f aca="false">U117+I117-V117</f>
        <v>260422.420657149</v>
      </c>
      <c r="X117" s="64" t="n">
        <f aca="false">K117+L117+V117+IF(E117,H117-I117-K117-L117,0)</f>
        <v>0</v>
      </c>
      <c r="Y117" s="61" t="b">
        <f aca="false">AND(Inputs!$C$21=1,O117/Inputs!$C$10&lt;=Inputs!$C$22,Inputs!$G$14&lt;Inputs!$C$23,W117&lt;1)</f>
        <v>0</v>
      </c>
      <c r="Z117" s="61" t="b">
        <f aca="false">OR(AND(Inputs!$G$15=1,H117/Inputs!$C$17&lt;=Inputs!$C$24),AND(Inputs!$G$15=2,C117&gt;=Inputs!$G$16))</f>
        <v>0</v>
      </c>
      <c r="AA117" s="61" t="b">
        <f aca="false">OR(AA116,Z117)</f>
        <v>0</v>
      </c>
      <c r="AB117" s="61" t="b">
        <f aca="false">AND(Z117,NOT(AA116),D117,O117&gt;0)</f>
        <v>0</v>
      </c>
      <c r="AC117" s="63" t="n">
        <f aca="false">IF(AND(Y117,NOT(E117),O117+P117&gt;0),O117/(O117+P117),1)</f>
        <v>1</v>
      </c>
      <c r="AD117" s="64" t="n">
        <f aca="false">IF(AB117,O117,IF(D117,MIN(O117,IF(E117,AC117*X117+BF116,BE117*Inputs!$G$20)),0))</f>
        <v>0</v>
      </c>
      <c r="AE117" s="64" t="n">
        <f aca="false">IF(AB117,P117,IF(D117,MAX(MIN(P117,X117-MIN(O117,AC117*X117)),0),0))</f>
        <v>0</v>
      </c>
      <c r="AF117" s="64" t="n">
        <f aca="false">IF(OR(AB117,E117),0,MAX(H117-I117-K117-L117,0))</f>
        <v>0</v>
      </c>
      <c r="AG117" s="64" t="n">
        <f aca="false">IF(E117,0,O117-AD117)</f>
        <v>0</v>
      </c>
      <c r="AH117" s="64" t="n">
        <f aca="false">IF(OR(AB117,E117),0,P117-AE117)</f>
        <v>256983.980657201</v>
      </c>
      <c r="AI117" s="64" t="n">
        <f aca="false">IF(D117,R117+AD117,0)</f>
        <v>0</v>
      </c>
      <c r="AJ117" s="65" t="n">
        <f aca="false">(C117-Inputs!$G$6)/365</f>
        <v>26.6575342465753</v>
      </c>
      <c r="AK117" s="29" t="n">
        <f aca="false">AG117/Inputs!$C$10</f>
        <v>0</v>
      </c>
      <c r="AL117" s="5"/>
      <c r="AM117" s="66" t="n">
        <f aca="false">F117</f>
        <v>0.241666666666667</v>
      </c>
      <c r="AN117" s="5"/>
      <c r="AO117" s="5" t="n">
        <f aca="false">AO116+LN(1+($G117+AO$7)*$AM117)</f>
        <v>0.676788754861441</v>
      </c>
      <c r="AP117" s="5" t="n">
        <f aca="false">AP116+LN(1+($G117+AP$7)*$AM117)</f>
        <v>0.679474424926308</v>
      </c>
      <c r="AQ117" s="5" t="n">
        <f aca="false">AQ116+LN(1+($G117+AQ$7)*$AM117)</f>
        <v>0.76574149939372</v>
      </c>
      <c r="AR117" s="5" t="n">
        <f aca="false">AR116+LN(1+($G117+AR$7)*$AM117)</f>
        <v>0.768424933480104</v>
      </c>
      <c r="AS117" s="5" t="n">
        <f aca="false">AS116+LN(1+($G117+AS$7)*$AM117)</f>
        <v>0.766716928682278</v>
      </c>
      <c r="AT117" s="5" t="n">
        <f aca="false">AT116+LN(1+($G117+AT$7)*$AM117)</f>
        <v>0.769400338259933</v>
      </c>
      <c r="AU117" s="5" t="n">
        <f aca="false">AU116+LN(1+($G117+AU$7)*$AM117)</f>
        <v>0.766716720418846</v>
      </c>
      <c r="AV117" s="5" t="n">
        <f aca="false">AV116+LN(1+($G117+AV$7)*$AM117)</f>
        <v>0.769400130001733</v>
      </c>
      <c r="AW117" s="5" t="n">
        <f aca="false">AW116+LN(1+($G117+AW$7)*$AM117)</f>
        <v>0.766716720488691</v>
      </c>
      <c r="AX117" s="5" t="n">
        <f aca="false">AX116+LN(1+($G117+AX$7)*$AM117)</f>
        <v>0.769400130071582</v>
      </c>
      <c r="AY117" s="5" t="n">
        <f aca="false">AY116+LN(1+($G117+AY$7)*$AM117)</f>
        <v>0.766716720488678</v>
      </c>
      <c r="AZ117" s="5" t="n">
        <f aca="false">AZ116+LN(1+($G117+AZ$7)*$AM117)</f>
        <v>0.769400130071558</v>
      </c>
      <c r="BA117" s="5" t="n">
        <f aca="false">BA116+LN(1+($G117+BA$7)*$AM117)</f>
        <v>0.766716720488678</v>
      </c>
      <c r="BB117" s="5" t="n">
        <f aca="false">BB116+LN(1+($G117+BB$7)*$AM117)</f>
        <v>0.769400130071558</v>
      </c>
      <c r="BC117" s="5" t="n">
        <f aca="false">BC116+LN(1+($G117+BC$7)*$AM117)</f>
        <v>0.766716720488678</v>
      </c>
      <c r="BD117" s="5" t="n">
        <f aca="false">BD116+LN(1+($G117+BD$7)*$AM117)</f>
        <v>0.769400130071558</v>
      </c>
      <c r="BE117" s="5" t="n">
        <f aca="false">IF(AB117,O117,IF(D117,MIN(O117,AC117*X117+BF116),0))</f>
        <v>0</v>
      </c>
      <c r="BF117" s="5" t="n">
        <f aca="false">IF(OR(AB117,E117),0,BE117-AD117)</f>
        <v>0</v>
      </c>
      <c r="BG117" s="5" t="n">
        <f aca="false">BG116+LN(1+($G117+BG$7)*$AM117)</f>
        <v>0.73987891567909</v>
      </c>
      <c r="BH117" s="5"/>
      <c r="BI117" s="5" t="n">
        <f aca="false">BI116+LN(1+($G117+BI$7)*$AM117)</f>
        <v>0.793547782714676</v>
      </c>
      <c r="BJ117" s="5"/>
      <c r="BK117" s="62" t="n">
        <f aca="false">C117</f>
        <v>56019</v>
      </c>
      <c r="BL117" s="67" t="n">
        <f aca="false">AI117</f>
        <v>0</v>
      </c>
    </row>
    <row r="118" customFormat="false" ht="15" hidden="false" customHeight="true" outlineLevel="0" collapsed="false">
      <c r="A118" s="3" t="n">
        <v>108</v>
      </c>
      <c r="B118" s="38" t="n">
        <f aca="false">EDATE(Inputs!$C$8,3*(A118-1))</f>
        <v>56111</v>
      </c>
      <c r="C118" s="38" t="n">
        <f aca="false">WORKDAY(B118-1,1)</f>
        <v>56111</v>
      </c>
      <c r="D118" s="61" t="b">
        <f aca="false">C118&lt;=Inputs!$C$9</f>
        <v>1</v>
      </c>
      <c r="E118" s="61" t="b">
        <f aca="false">AND(D118,NOT(D119))</f>
        <v>0</v>
      </c>
      <c r="F118" s="63" t="n">
        <f aca="false">(C118-C117)/360</f>
        <v>0.255555555555556</v>
      </c>
      <c r="G118" s="57" t="n">
        <f aca="false">Curve!D111</f>
        <v>0.02252</v>
      </c>
      <c r="H118" s="64" t="n">
        <f aca="false">AF117</f>
        <v>0</v>
      </c>
      <c r="I118" s="64" t="n">
        <f aca="false">IF(D118,H118*Inputs!$G$22,0)</f>
        <v>0</v>
      </c>
      <c r="J118" s="32" t="n">
        <f aca="false">MAX(Inputs!$G$24-(A118-1),1)</f>
        <v>1</v>
      </c>
      <c r="K118" s="64" t="n">
        <f aca="false">IF(D118,MIN(H118-I118,IF(J118&gt;1,(H118-I118)*Inputs!$G$23/((1+Inputs!$G$23)^J118-1),H118-I118)),0)</f>
        <v>0</v>
      </c>
      <c r="L118" s="64" t="n">
        <f aca="false">IF(D118,(H118-I118-K118)*Inputs!$G$21,0)</f>
        <v>0</v>
      </c>
      <c r="M118" s="64" t="n">
        <f aca="false">IF(A118&gt;Inputs!$G$13,(1-Inputs!$G$12)*INDEX($I$11:$I$190,A118-Inputs!$G$13),0)</f>
        <v>0</v>
      </c>
      <c r="N118" s="64" t="n">
        <f aca="false">IF(D118,(H118-I118)*Inputs!$G$23,0)</f>
        <v>0</v>
      </c>
      <c r="O118" s="64" t="n">
        <f aca="false">AG117</f>
        <v>0</v>
      </c>
      <c r="P118" s="64" t="n">
        <f aca="false">AH117</f>
        <v>256983.980657201</v>
      </c>
      <c r="Q118" s="64" t="n">
        <f aca="false">IF(AND(D118,O118+P118&gt;0),Inputs!$C$25+Inputs!$C$26*H118/4,0)</f>
        <v>100000</v>
      </c>
      <c r="R118" s="64" t="n">
        <f aca="false">O118*IF(Inputs!$G$19="",G118+Inputs!$C$13,MAX(Inputs!$G$19,G118+Inputs!$C$13))*F118</f>
        <v>0</v>
      </c>
      <c r="S118" s="64" t="n">
        <f aca="false">P118*(G118+Inputs!$C$14)*F118</f>
        <v>1942.79889376844</v>
      </c>
      <c r="T118" s="64" t="n">
        <f aca="false">N118+M118-Q118-R118-S118</f>
        <v>-101942.798893768</v>
      </c>
      <c r="U118" s="64" t="n">
        <f aca="false">W117</f>
        <v>260422.420657149</v>
      </c>
      <c r="V118" s="64" t="n">
        <f aca="false">MIN(U118+I118,MAX(T118,0))</f>
        <v>0</v>
      </c>
      <c r="W118" s="64" t="n">
        <f aca="false">U118+I118-V118</f>
        <v>260422.420657149</v>
      </c>
      <c r="X118" s="64" t="n">
        <f aca="false">K118+L118+V118+IF(E118,H118-I118-K118-L118,0)</f>
        <v>0</v>
      </c>
      <c r="Y118" s="61" t="b">
        <f aca="false">AND(Inputs!$C$21=1,O118/Inputs!$C$10&lt;=Inputs!$C$22,Inputs!$G$14&lt;Inputs!$C$23,W118&lt;1)</f>
        <v>0</v>
      </c>
      <c r="Z118" s="61" t="b">
        <f aca="false">OR(AND(Inputs!$G$15=1,H118/Inputs!$C$17&lt;=Inputs!$C$24),AND(Inputs!$G$15=2,C118&gt;=Inputs!$G$16))</f>
        <v>0</v>
      </c>
      <c r="AA118" s="61" t="b">
        <f aca="false">OR(AA117,Z118)</f>
        <v>0</v>
      </c>
      <c r="AB118" s="61" t="b">
        <f aca="false">AND(Z118,NOT(AA117),D118,O118&gt;0)</f>
        <v>0</v>
      </c>
      <c r="AC118" s="63" t="n">
        <f aca="false">IF(AND(Y118,NOT(E118),O118+P118&gt;0),O118/(O118+P118),1)</f>
        <v>1</v>
      </c>
      <c r="AD118" s="64" t="n">
        <f aca="false">IF(AB118,O118,IF(D118,MIN(O118,IF(E118,AC118*X118+BF117,BE118*Inputs!$G$20)),0))</f>
        <v>0</v>
      </c>
      <c r="AE118" s="64" t="n">
        <f aca="false">IF(AB118,P118,IF(D118,MAX(MIN(P118,X118-MIN(O118,AC118*X118)),0),0))</f>
        <v>0</v>
      </c>
      <c r="AF118" s="64" t="n">
        <f aca="false">IF(OR(AB118,E118),0,MAX(H118-I118-K118-L118,0))</f>
        <v>0</v>
      </c>
      <c r="AG118" s="64" t="n">
        <f aca="false">IF(E118,0,O118-AD118)</f>
        <v>0</v>
      </c>
      <c r="AH118" s="64" t="n">
        <f aca="false">IF(OR(AB118,E118),0,P118-AE118)</f>
        <v>256983.980657201</v>
      </c>
      <c r="AI118" s="64" t="n">
        <f aca="false">IF(D118,R118+AD118,0)</f>
        <v>0</v>
      </c>
      <c r="AJ118" s="65" t="n">
        <f aca="false">(C118-Inputs!$G$6)/365</f>
        <v>26.9095890410959</v>
      </c>
      <c r="AK118" s="29" t="n">
        <f aca="false">AG118/Inputs!$C$10</f>
        <v>0</v>
      </c>
      <c r="AL118" s="5"/>
      <c r="AM118" s="66" t="n">
        <f aca="false">F118</f>
        <v>0.255555555555556</v>
      </c>
      <c r="AN118" s="5"/>
      <c r="AO118" s="5" t="n">
        <f aca="false">AO117+LN(1+($G118+AO$7)*$AM118)</f>
        <v>0.683187792832599</v>
      </c>
      <c r="AP118" s="5" t="n">
        <f aca="false">AP117+LN(1+($G118+AP$7)*$AM118)</f>
        <v>0.685898855121772</v>
      </c>
      <c r="AQ118" s="5" t="n">
        <f aca="false">AQ117+LN(1+($G118+AQ$7)*$AM118)</f>
        <v>0.772981556221201</v>
      </c>
      <c r="AR118" s="5" t="n">
        <f aca="false">AR117+LN(1+($G118+AR$7)*$AM118)</f>
        <v>0.7756903611858</v>
      </c>
      <c r="AS118" s="5" t="n">
        <f aca="false">AS117+LN(1+($G118+AS$7)*$AM118)</f>
        <v>0.773966207834144</v>
      </c>
      <c r="AT118" s="5" t="n">
        <f aca="false">AT117+LN(1+($G118+AT$7)*$AM118)</f>
        <v>0.776674988056039</v>
      </c>
      <c r="AU118" s="5" t="n">
        <f aca="false">AU117+LN(1+($G118+AU$7)*$AM118)</f>
        <v>0.773965997601659</v>
      </c>
      <c r="AV118" s="5" t="n">
        <f aca="false">AV117+LN(1+($G118+AV$7)*$AM118)</f>
        <v>0.776674777828836</v>
      </c>
      <c r="AW118" s="5" t="n">
        <f aca="false">AW117+LN(1+($G118+AW$7)*$AM118)</f>
        <v>0.773965997672164</v>
      </c>
      <c r="AX118" s="5" t="n">
        <f aca="false">AX117+LN(1+($G118+AX$7)*$AM118)</f>
        <v>0.776674777899346</v>
      </c>
      <c r="AY118" s="5" t="n">
        <f aca="false">AY117+LN(1+($G118+AY$7)*$AM118)</f>
        <v>0.77396599767215</v>
      </c>
      <c r="AZ118" s="5" t="n">
        <f aca="false">AZ117+LN(1+($G118+AZ$7)*$AM118)</f>
        <v>0.776674777899322</v>
      </c>
      <c r="BA118" s="5" t="n">
        <f aca="false">BA117+LN(1+($G118+BA$7)*$AM118)</f>
        <v>0.77396599767215</v>
      </c>
      <c r="BB118" s="5" t="n">
        <f aca="false">BB117+LN(1+($G118+BB$7)*$AM118)</f>
        <v>0.776674777899322</v>
      </c>
      <c r="BC118" s="5" t="n">
        <f aca="false">BC117+LN(1+($G118+BC$7)*$AM118)</f>
        <v>0.77396599767215</v>
      </c>
      <c r="BD118" s="5" t="n">
        <f aca="false">BD117+LN(1+($G118+BD$7)*$AM118)</f>
        <v>0.776674777899322</v>
      </c>
      <c r="BE118" s="5" t="n">
        <f aca="false">IF(AB118,O118,IF(D118,MIN(O118,AC118*X118+BF117),0))</f>
        <v>0</v>
      </c>
      <c r="BF118" s="5" t="n">
        <f aca="false">IF(OR(AB118,E118),0,BE118-AD118)</f>
        <v>0</v>
      </c>
      <c r="BG118" s="5" t="n">
        <f aca="false">BG117+LN(1+($G118+BG$7)*$AM118)</f>
        <v>0.746874451011541</v>
      </c>
      <c r="BH118" s="5"/>
      <c r="BI118" s="5" t="n">
        <f aca="false">BI117+LN(1+($G118+BI$7)*$AM118)</f>
        <v>0.801050737380576</v>
      </c>
      <c r="BJ118" s="5"/>
      <c r="BK118" s="62" t="n">
        <f aca="false">C118</f>
        <v>56111</v>
      </c>
      <c r="BL118" s="67" t="n">
        <f aca="false">AI118</f>
        <v>0</v>
      </c>
    </row>
    <row r="119" customFormat="false" ht="15" hidden="false" customHeight="true" outlineLevel="0" collapsed="false">
      <c r="A119" s="3" t="n">
        <v>109</v>
      </c>
      <c r="B119" s="38" t="n">
        <f aca="false">EDATE(Inputs!$C$8,3*(A119-1))</f>
        <v>56203</v>
      </c>
      <c r="C119" s="38" t="n">
        <f aca="false">WORKDAY(B119-1,1)</f>
        <v>56205</v>
      </c>
      <c r="D119" s="61" t="b">
        <f aca="false">C119&lt;=Inputs!$C$9</f>
        <v>1</v>
      </c>
      <c r="E119" s="61" t="b">
        <f aca="false">AND(D119,NOT(D120))</f>
        <v>0</v>
      </c>
      <c r="F119" s="63" t="n">
        <f aca="false">(C119-C118)/360</f>
        <v>0.261111111111111</v>
      </c>
      <c r="G119" s="57" t="n">
        <f aca="false">Curve!D112</f>
        <v>0.02252</v>
      </c>
      <c r="H119" s="64" t="n">
        <f aca="false">AF118</f>
        <v>0</v>
      </c>
      <c r="I119" s="64" t="n">
        <f aca="false">IF(D119,H119*Inputs!$G$22,0)</f>
        <v>0</v>
      </c>
      <c r="J119" s="32" t="n">
        <f aca="false">MAX(Inputs!$G$24-(A119-1),1)</f>
        <v>1</v>
      </c>
      <c r="K119" s="64" t="n">
        <f aca="false">IF(D119,MIN(H119-I119,IF(J119&gt;1,(H119-I119)*Inputs!$G$23/((1+Inputs!$G$23)^J119-1),H119-I119)),0)</f>
        <v>0</v>
      </c>
      <c r="L119" s="64" t="n">
        <f aca="false">IF(D119,(H119-I119-K119)*Inputs!$G$21,0)</f>
        <v>0</v>
      </c>
      <c r="M119" s="64" t="n">
        <f aca="false">IF(A119&gt;Inputs!$G$13,(1-Inputs!$G$12)*INDEX($I$11:$I$190,A119-Inputs!$G$13),0)</f>
        <v>0</v>
      </c>
      <c r="N119" s="64" t="n">
        <f aca="false">IF(D119,(H119-I119)*Inputs!$G$23,0)</f>
        <v>0</v>
      </c>
      <c r="O119" s="64" t="n">
        <f aca="false">AG118</f>
        <v>0</v>
      </c>
      <c r="P119" s="64" t="n">
        <f aca="false">AH118</f>
        <v>256983.980657201</v>
      </c>
      <c r="Q119" s="64" t="n">
        <f aca="false">IF(AND(D119,O119+P119&gt;0),Inputs!$C$25+Inputs!$C$26*H119/4,0)</f>
        <v>100000</v>
      </c>
      <c r="R119" s="64" t="n">
        <f aca="false">O119*IF(Inputs!$G$19="",G119+Inputs!$C$13,MAX(Inputs!$G$19,G119+Inputs!$C$13))*F119</f>
        <v>0</v>
      </c>
      <c r="S119" s="64" t="n">
        <f aca="false">P119*(G119+Inputs!$C$14)*F119</f>
        <v>1985.03365232862</v>
      </c>
      <c r="T119" s="64" t="n">
        <f aca="false">N119+M119-Q119-R119-S119</f>
        <v>-101985.033652329</v>
      </c>
      <c r="U119" s="64" t="n">
        <f aca="false">W118</f>
        <v>260422.420657149</v>
      </c>
      <c r="V119" s="64" t="n">
        <f aca="false">MIN(U119+I119,MAX(T119,0))</f>
        <v>0</v>
      </c>
      <c r="W119" s="64" t="n">
        <f aca="false">U119+I119-V119</f>
        <v>260422.420657149</v>
      </c>
      <c r="X119" s="64" t="n">
        <f aca="false">K119+L119+V119+IF(E119,H119-I119-K119-L119,0)</f>
        <v>0</v>
      </c>
      <c r="Y119" s="61" t="b">
        <f aca="false">AND(Inputs!$C$21=1,O119/Inputs!$C$10&lt;=Inputs!$C$22,Inputs!$G$14&lt;Inputs!$C$23,W119&lt;1)</f>
        <v>0</v>
      </c>
      <c r="Z119" s="61" t="b">
        <f aca="false">OR(AND(Inputs!$G$15=1,H119/Inputs!$C$17&lt;=Inputs!$C$24),AND(Inputs!$G$15=2,C119&gt;=Inputs!$G$16))</f>
        <v>0</v>
      </c>
      <c r="AA119" s="61" t="b">
        <f aca="false">OR(AA118,Z119)</f>
        <v>0</v>
      </c>
      <c r="AB119" s="61" t="b">
        <f aca="false">AND(Z119,NOT(AA118),D119,O119&gt;0)</f>
        <v>0</v>
      </c>
      <c r="AC119" s="63" t="n">
        <f aca="false">IF(AND(Y119,NOT(E119),O119+P119&gt;0),O119/(O119+P119),1)</f>
        <v>1</v>
      </c>
      <c r="AD119" s="64" t="n">
        <f aca="false">IF(AB119,O119,IF(D119,MIN(O119,IF(E119,AC119*X119+BF118,BE119*Inputs!$G$20)),0))</f>
        <v>0</v>
      </c>
      <c r="AE119" s="64" t="n">
        <f aca="false">IF(AB119,P119,IF(D119,MAX(MIN(P119,X119-MIN(O119,AC119*X119)),0),0))</f>
        <v>0</v>
      </c>
      <c r="AF119" s="64" t="n">
        <f aca="false">IF(OR(AB119,E119),0,MAX(H119-I119-K119-L119,0))</f>
        <v>0</v>
      </c>
      <c r="AG119" s="64" t="n">
        <f aca="false">IF(E119,0,O119-AD119)</f>
        <v>0</v>
      </c>
      <c r="AH119" s="64" t="n">
        <f aca="false">IF(OR(AB119,E119),0,P119-AE119)</f>
        <v>256983.980657201</v>
      </c>
      <c r="AI119" s="64" t="n">
        <f aca="false">IF(D119,R119+AD119,0)</f>
        <v>0</v>
      </c>
      <c r="AJ119" s="65" t="n">
        <f aca="false">(C119-Inputs!$G$6)/365</f>
        <v>27.1671232876712</v>
      </c>
      <c r="AK119" s="29" t="n">
        <f aca="false">AG119/Inputs!$C$10</f>
        <v>0</v>
      </c>
      <c r="AL119" s="5"/>
      <c r="AM119" s="66" t="n">
        <f aca="false">F119</f>
        <v>0.261111111111111</v>
      </c>
      <c r="AN119" s="5"/>
      <c r="AO119" s="5" t="n">
        <f aca="false">AO118+LN(1+($G119+AO$7)*$AM119)</f>
        <v>0.689725486576011</v>
      </c>
      <c r="AP119" s="5" t="n">
        <f aca="false">AP118+LN(1+($G119+AP$7)*$AM119)</f>
        <v>0.692462489490185</v>
      </c>
      <c r="AQ119" s="5" t="n">
        <f aca="false">AQ118+LN(1+($G119+AQ$7)*$AM119)</f>
        <v>0.780378424899882</v>
      </c>
      <c r="AR119" s="5" t="n">
        <f aca="false">AR118+LN(1+($G119+AR$7)*$AM119)</f>
        <v>0.783113148211809</v>
      </c>
      <c r="AS119" s="5" t="n">
        <f aca="false">AS118+LN(1+($G119+AS$7)*$AM119)</f>
        <v>0.781372497844093</v>
      </c>
      <c r="AT119" s="5" t="n">
        <f aca="false">AT118+LN(1+($G119+AT$7)*$AM119)</f>
        <v>0.784107196169135</v>
      </c>
      <c r="AU119" s="5" t="n">
        <f aca="false">AU118+LN(1+($G119+AU$7)*$AM119)</f>
        <v>0.781372285600064</v>
      </c>
      <c r="AV119" s="5" t="n">
        <f aca="false">AV118+LN(1+($G119+AV$7)*$AM119)</f>
        <v>0.78410698393044</v>
      </c>
      <c r="AW119" s="5" t="n">
        <f aca="false">AW118+LN(1+($G119+AW$7)*$AM119)</f>
        <v>0.781372285671244</v>
      </c>
      <c r="AX119" s="5" t="n">
        <f aca="false">AX118+LN(1+($G119+AX$7)*$AM119)</f>
        <v>0.784106984001625</v>
      </c>
      <c r="AY119" s="5" t="n">
        <f aca="false">AY118+LN(1+($G119+AY$7)*$AM119)</f>
        <v>0.781372285671231</v>
      </c>
      <c r="AZ119" s="5" t="n">
        <f aca="false">AZ118+LN(1+($G119+AZ$7)*$AM119)</f>
        <v>0.7841069840016</v>
      </c>
      <c r="BA119" s="5" t="n">
        <f aca="false">BA118+LN(1+($G119+BA$7)*$AM119)</f>
        <v>0.781372285671231</v>
      </c>
      <c r="BB119" s="5" t="n">
        <f aca="false">BB118+LN(1+($G119+BB$7)*$AM119)</f>
        <v>0.7841069840016</v>
      </c>
      <c r="BC119" s="5" t="n">
        <f aca="false">BC118+LN(1+($G119+BC$7)*$AM119)</f>
        <v>0.781372285671231</v>
      </c>
      <c r="BD119" s="5" t="n">
        <f aca="false">BD118+LN(1+($G119+BD$7)*$AM119)</f>
        <v>0.7841069840016</v>
      </c>
      <c r="BE119" s="5" t="n">
        <f aca="false">IF(AB119,O119,IF(D119,MIN(O119,AC119*X119+BF118),0))</f>
        <v>0</v>
      </c>
      <c r="BF119" s="5" t="n">
        <f aca="false">IF(OR(AB119,E119),0,BE119-AD119)</f>
        <v>0</v>
      </c>
      <c r="BG119" s="5" t="n">
        <f aca="false">BG118+LN(1+($G119+BG$7)*$AM119)</f>
        <v>0.75402152102579</v>
      </c>
      <c r="BH119" s="5"/>
      <c r="BI119" s="5" t="n">
        <f aca="false">BI118+LN(1+($G119+BI$7)*$AM119)</f>
        <v>0.808716176187938</v>
      </c>
      <c r="BJ119" s="5"/>
      <c r="BK119" s="62" t="n">
        <f aca="false">C119</f>
        <v>56205</v>
      </c>
      <c r="BL119" s="67" t="n">
        <f aca="false">AI119</f>
        <v>0</v>
      </c>
    </row>
    <row r="120" customFormat="false" ht="15" hidden="false" customHeight="true" outlineLevel="0" collapsed="false">
      <c r="A120" s="3" t="n">
        <v>110</v>
      </c>
      <c r="B120" s="38" t="n">
        <f aca="false">EDATE(Inputs!$C$8,3*(A120-1))</f>
        <v>56295</v>
      </c>
      <c r="C120" s="38" t="n">
        <f aca="false">WORKDAY(B120-1,1)</f>
        <v>56296</v>
      </c>
      <c r="D120" s="61" t="b">
        <f aca="false">C120&lt;=Inputs!$C$9</f>
        <v>1</v>
      </c>
      <c r="E120" s="61" t="b">
        <f aca="false">AND(D120,NOT(D121))</f>
        <v>0</v>
      </c>
      <c r="F120" s="63" t="n">
        <f aca="false">(C120-C119)/360</f>
        <v>0.252777777777778</v>
      </c>
      <c r="G120" s="57" t="n">
        <f aca="false">Curve!D113</f>
        <v>0.02252</v>
      </c>
      <c r="H120" s="64" t="n">
        <f aca="false">AF119</f>
        <v>0</v>
      </c>
      <c r="I120" s="64" t="n">
        <f aca="false">IF(D120,H120*Inputs!$G$22,0)</f>
        <v>0</v>
      </c>
      <c r="J120" s="32" t="n">
        <f aca="false">MAX(Inputs!$G$24-(A120-1),1)</f>
        <v>1</v>
      </c>
      <c r="K120" s="64" t="n">
        <f aca="false">IF(D120,MIN(H120-I120,IF(J120&gt;1,(H120-I120)*Inputs!$G$23/((1+Inputs!$G$23)^J120-1),H120-I120)),0)</f>
        <v>0</v>
      </c>
      <c r="L120" s="64" t="n">
        <f aca="false">IF(D120,(H120-I120-K120)*Inputs!$G$21,0)</f>
        <v>0</v>
      </c>
      <c r="M120" s="64" t="n">
        <f aca="false">IF(A120&gt;Inputs!$G$13,(1-Inputs!$G$12)*INDEX($I$11:$I$190,A120-Inputs!$G$13),0)</f>
        <v>0</v>
      </c>
      <c r="N120" s="64" t="n">
        <f aca="false">IF(D120,(H120-I120)*Inputs!$G$23,0)</f>
        <v>0</v>
      </c>
      <c r="O120" s="64" t="n">
        <f aca="false">AG119</f>
        <v>0</v>
      </c>
      <c r="P120" s="64" t="n">
        <f aca="false">AH119</f>
        <v>256983.980657201</v>
      </c>
      <c r="Q120" s="64" t="n">
        <f aca="false">IF(AND(D120,O120+P120&gt;0),Inputs!$C$25+Inputs!$C$26*H120/4,0)</f>
        <v>100000</v>
      </c>
      <c r="R120" s="64" t="n">
        <f aca="false">O120*IF(Inputs!$G$19="",G120+Inputs!$C$13,MAX(Inputs!$G$19,G120+Inputs!$C$13))*F120</f>
        <v>0</v>
      </c>
      <c r="S120" s="64" t="n">
        <f aca="false">P120*(G120+Inputs!$C$14)*F120</f>
        <v>1921.68151448835</v>
      </c>
      <c r="T120" s="64" t="n">
        <f aca="false">N120+M120-Q120-R120-S120</f>
        <v>-101921.681514488</v>
      </c>
      <c r="U120" s="64" t="n">
        <f aca="false">W119</f>
        <v>260422.420657149</v>
      </c>
      <c r="V120" s="64" t="n">
        <f aca="false">MIN(U120+I120,MAX(T120,0))</f>
        <v>0</v>
      </c>
      <c r="W120" s="64" t="n">
        <f aca="false">U120+I120-V120</f>
        <v>260422.420657149</v>
      </c>
      <c r="X120" s="64" t="n">
        <f aca="false">K120+L120+V120+IF(E120,H120-I120-K120-L120,0)</f>
        <v>0</v>
      </c>
      <c r="Y120" s="61" t="b">
        <f aca="false">AND(Inputs!$C$21=1,O120/Inputs!$C$10&lt;=Inputs!$C$22,Inputs!$G$14&lt;Inputs!$C$23,W120&lt;1)</f>
        <v>0</v>
      </c>
      <c r="Z120" s="61" t="b">
        <f aca="false">OR(AND(Inputs!$G$15=1,H120/Inputs!$C$17&lt;=Inputs!$C$24),AND(Inputs!$G$15=2,C120&gt;=Inputs!$G$16))</f>
        <v>0</v>
      </c>
      <c r="AA120" s="61" t="b">
        <f aca="false">OR(AA119,Z120)</f>
        <v>0</v>
      </c>
      <c r="AB120" s="61" t="b">
        <f aca="false">AND(Z120,NOT(AA119),D120,O120&gt;0)</f>
        <v>0</v>
      </c>
      <c r="AC120" s="63" t="n">
        <f aca="false">IF(AND(Y120,NOT(E120),O120+P120&gt;0),O120/(O120+P120),1)</f>
        <v>1</v>
      </c>
      <c r="AD120" s="64" t="n">
        <f aca="false">IF(AB120,O120,IF(D120,MIN(O120,IF(E120,AC120*X120+BF119,BE120*Inputs!$G$20)),0))</f>
        <v>0</v>
      </c>
      <c r="AE120" s="64" t="n">
        <f aca="false">IF(AB120,P120,IF(D120,MAX(MIN(P120,X120-MIN(O120,AC120*X120)),0),0))</f>
        <v>0</v>
      </c>
      <c r="AF120" s="64" t="n">
        <f aca="false">IF(OR(AB120,E120),0,MAX(H120-I120-K120-L120,0))</f>
        <v>0</v>
      </c>
      <c r="AG120" s="64" t="n">
        <f aca="false">IF(E120,0,O120-AD120)</f>
        <v>0</v>
      </c>
      <c r="AH120" s="64" t="n">
        <f aca="false">IF(OR(AB120,E120),0,P120-AE120)</f>
        <v>256983.980657201</v>
      </c>
      <c r="AI120" s="64" t="n">
        <f aca="false">IF(D120,R120+AD120,0)</f>
        <v>0</v>
      </c>
      <c r="AJ120" s="65" t="n">
        <f aca="false">(C120-Inputs!$G$6)/365</f>
        <v>27.4164383561644</v>
      </c>
      <c r="AK120" s="29" t="n">
        <f aca="false">AG120/Inputs!$C$10</f>
        <v>0</v>
      </c>
      <c r="AL120" s="5"/>
      <c r="AM120" s="66" t="n">
        <f aca="false">F120</f>
        <v>0.252777777777778</v>
      </c>
      <c r="AN120" s="5"/>
      <c r="AO120" s="5" t="n">
        <f aca="false">AO119+LN(1+($G120+AO$7)*$AM120)</f>
        <v>0.696055189450841</v>
      </c>
      <c r="AP120" s="5" t="n">
        <f aca="false">AP119+LN(1+($G120+AP$7)*$AM120)</f>
        <v>0.698817310331824</v>
      </c>
      <c r="AQ120" s="5" t="n">
        <f aca="false">AQ119+LN(1+($G120+AQ$7)*$AM120)</f>
        <v>0.787540066579564</v>
      </c>
      <c r="AR120" s="5" t="n">
        <f aca="false">AR119+LN(1+($G120+AR$7)*$AM120)</f>
        <v>0.79029988697064</v>
      </c>
      <c r="AS120" s="5" t="n">
        <f aca="false">AS119+LN(1+($G120+AS$7)*$AM120)</f>
        <v>0.788543262321297</v>
      </c>
      <c r="AT120" s="5" t="n">
        <f aca="false">AT119+LN(1+($G120+AT$7)*$AM120)</f>
        <v>0.791303057496536</v>
      </c>
      <c r="AU120" s="5" t="n">
        <f aca="false">AU119+LN(1+($G120+AU$7)*$AM120)</f>
        <v>0.788543048129464</v>
      </c>
      <c r="AV120" s="5" t="n">
        <f aca="false">AV119+LN(1+($G120+AV$7)*$AM120)</f>
        <v>0.791302843310086</v>
      </c>
      <c r="AW120" s="5" t="n">
        <f aca="false">AW119+LN(1+($G120+AW$7)*$AM120)</f>
        <v>0.788543048201297</v>
      </c>
      <c r="AX120" s="5" t="n">
        <f aca="false">AX119+LN(1+($G120+AX$7)*$AM120)</f>
        <v>0.791302843381923</v>
      </c>
      <c r="AY120" s="5" t="n">
        <f aca="false">AY119+LN(1+($G120+AY$7)*$AM120)</f>
        <v>0.788543048201283</v>
      </c>
      <c r="AZ120" s="5" t="n">
        <f aca="false">AZ119+LN(1+($G120+AZ$7)*$AM120)</f>
        <v>0.791302843381899</v>
      </c>
      <c r="BA120" s="5" t="n">
        <f aca="false">BA119+LN(1+($G120+BA$7)*$AM120)</f>
        <v>0.788543048201283</v>
      </c>
      <c r="BB120" s="5" t="n">
        <f aca="false">BB119+LN(1+($G120+BB$7)*$AM120)</f>
        <v>0.791302843381899</v>
      </c>
      <c r="BC120" s="5" t="n">
        <f aca="false">BC119+LN(1+($G120+BC$7)*$AM120)</f>
        <v>0.788543048201283</v>
      </c>
      <c r="BD120" s="5" t="n">
        <f aca="false">BD119+LN(1+($G120+BD$7)*$AM120)</f>
        <v>0.791302843381899</v>
      </c>
      <c r="BE120" s="5" t="n">
        <f aca="false">IF(AB120,O120,IF(D120,MIN(O120,AC120*X120+BF119),0))</f>
        <v>0</v>
      </c>
      <c r="BF120" s="5" t="n">
        <f aca="false">IF(OR(AB120,E120),0,BE120-AD120)</f>
        <v>0</v>
      </c>
      <c r="BG120" s="5" t="n">
        <f aca="false">BG119+LN(1+($G120+BG$7)*$AM120)</f>
        <v>0.760941280405436</v>
      </c>
      <c r="BH120" s="5"/>
      <c r="BI120" s="5" t="n">
        <f aca="false">BI119+LN(1+($G120+BI$7)*$AM120)</f>
        <v>0.816137878881623</v>
      </c>
      <c r="BJ120" s="5"/>
      <c r="BK120" s="62" t="n">
        <f aca="false">C120</f>
        <v>56296</v>
      </c>
      <c r="BL120" s="67" t="n">
        <f aca="false">AI120</f>
        <v>0</v>
      </c>
    </row>
    <row r="121" customFormat="false" ht="15" hidden="false" customHeight="true" outlineLevel="0" collapsed="false">
      <c r="A121" s="3" t="n">
        <v>111</v>
      </c>
      <c r="B121" s="38" t="n">
        <f aca="false">EDATE(Inputs!$C$8,3*(A121-1))</f>
        <v>56384</v>
      </c>
      <c r="C121" s="38" t="n">
        <f aca="false">WORKDAY(B121-1,1)</f>
        <v>56384</v>
      </c>
      <c r="D121" s="61" t="b">
        <f aca="false">C121&lt;=Inputs!$C$9</f>
        <v>1</v>
      </c>
      <c r="E121" s="61" t="b">
        <f aca="false">AND(D121,NOT(D122))</f>
        <v>0</v>
      </c>
      <c r="F121" s="63" t="n">
        <f aca="false">(C121-C120)/360</f>
        <v>0.244444444444444</v>
      </c>
      <c r="G121" s="57" t="n">
        <f aca="false">Curve!D114</f>
        <v>0.02252</v>
      </c>
      <c r="H121" s="64" t="n">
        <f aca="false">AF120</f>
        <v>0</v>
      </c>
      <c r="I121" s="64" t="n">
        <f aca="false">IF(D121,H121*Inputs!$G$22,0)</f>
        <v>0</v>
      </c>
      <c r="J121" s="32" t="n">
        <f aca="false">MAX(Inputs!$G$24-(A121-1),1)</f>
        <v>1</v>
      </c>
      <c r="K121" s="64" t="n">
        <f aca="false">IF(D121,MIN(H121-I121,IF(J121&gt;1,(H121-I121)*Inputs!$G$23/((1+Inputs!$G$23)^J121-1),H121-I121)),0)</f>
        <v>0</v>
      </c>
      <c r="L121" s="64" t="n">
        <f aca="false">IF(D121,(H121-I121-K121)*Inputs!$G$21,0)</f>
        <v>0</v>
      </c>
      <c r="M121" s="64" t="n">
        <f aca="false">IF(A121&gt;Inputs!$G$13,(1-Inputs!$G$12)*INDEX($I$11:$I$190,A121-Inputs!$G$13),0)</f>
        <v>0</v>
      </c>
      <c r="N121" s="64" t="n">
        <f aca="false">IF(D121,(H121-I121)*Inputs!$G$23,0)</f>
        <v>0</v>
      </c>
      <c r="O121" s="64" t="n">
        <f aca="false">AG120</f>
        <v>0</v>
      </c>
      <c r="P121" s="64" t="n">
        <f aca="false">AH120</f>
        <v>256983.980657201</v>
      </c>
      <c r="Q121" s="64" t="n">
        <f aca="false">IF(AND(D121,O121+P121&gt;0),Inputs!$C$25+Inputs!$C$26*H121/4,0)</f>
        <v>100000</v>
      </c>
      <c r="R121" s="64" t="n">
        <f aca="false">O121*IF(Inputs!$G$19="",G121+Inputs!$C$13,MAX(Inputs!$G$19,G121+Inputs!$C$13))*F121</f>
        <v>0</v>
      </c>
      <c r="S121" s="64" t="n">
        <f aca="false">P121*(G121+Inputs!$C$14)*F121</f>
        <v>1858.32937664807</v>
      </c>
      <c r="T121" s="64" t="n">
        <f aca="false">N121+M121-Q121-R121-S121</f>
        <v>-101858.329376648</v>
      </c>
      <c r="U121" s="64" t="n">
        <f aca="false">W120</f>
        <v>260422.420657149</v>
      </c>
      <c r="V121" s="64" t="n">
        <f aca="false">MIN(U121+I121,MAX(T121,0))</f>
        <v>0</v>
      </c>
      <c r="W121" s="64" t="n">
        <f aca="false">U121+I121-V121</f>
        <v>260422.420657149</v>
      </c>
      <c r="X121" s="64" t="n">
        <f aca="false">K121+L121+V121+IF(E121,H121-I121-K121-L121,0)</f>
        <v>0</v>
      </c>
      <c r="Y121" s="61" t="b">
        <f aca="false">AND(Inputs!$C$21=1,O121/Inputs!$C$10&lt;=Inputs!$C$22,Inputs!$G$14&lt;Inputs!$C$23,W121&lt;1)</f>
        <v>0</v>
      </c>
      <c r="Z121" s="61" t="b">
        <f aca="false">OR(AND(Inputs!$G$15=1,H121/Inputs!$C$17&lt;=Inputs!$C$24),AND(Inputs!$G$15=2,C121&gt;=Inputs!$G$16))</f>
        <v>0</v>
      </c>
      <c r="AA121" s="61" t="b">
        <f aca="false">OR(AA120,Z121)</f>
        <v>0</v>
      </c>
      <c r="AB121" s="61" t="b">
        <f aca="false">AND(Z121,NOT(AA120),D121,O121&gt;0)</f>
        <v>0</v>
      </c>
      <c r="AC121" s="63" t="n">
        <f aca="false">IF(AND(Y121,NOT(E121),O121+P121&gt;0),O121/(O121+P121),1)</f>
        <v>1</v>
      </c>
      <c r="AD121" s="64" t="n">
        <f aca="false">IF(AB121,O121,IF(D121,MIN(O121,IF(E121,AC121*X121+BF120,BE121*Inputs!$G$20)),0))</f>
        <v>0</v>
      </c>
      <c r="AE121" s="64" t="n">
        <f aca="false">IF(AB121,P121,IF(D121,MAX(MIN(P121,X121-MIN(O121,AC121*X121)),0),0))</f>
        <v>0</v>
      </c>
      <c r="AF121" s="64" t="n">
        <f aca="false">IF(OR(AB121,E121),0,MAX(H121-I121-K121-L121,0))</f>
        <v>0</v>
      </c>
      <c r="AG121" s="64" t="n">
        <f aca="false">IF(E121,0,O121-AD121)</f>
        <v>0</v>
      </c>
      <c r="AH121" s="64" t="n">
        <f aca="false">IF(OR(AB121,E121),0,P121-AE121)</f>
        <v>256983.980657201</v>
      </c>
      <c r="AI121" s="64" t="n">
        <f aca="false">IF(D121,R121+AD121,0)</f>
        <v>0</v>
      </c>
      <c r="AJ121" s="65" t="n">
        <f aca="false">(C121-Inputs!$G$6)/365</f>
        <v>27.6575342465753</v>
      </c>
      <c r="AK121" s="29" t="n">
        <f aca="false">AG121/Inputs!$C$10</f>
        <v>0</v>
      </c>
      <c r="AL121" s="5"/>
      <c r="AM121" s="66" t="n">
        <f aca="false">F121</f>
        <v>0.244444444444444</v>
      </c>
      <c r="AN121" s="5"/>
      <c r="AO121" s="5" t="n">
        <f aca="false">AO120+LN(1+($G121+AO$7)*$AM121)</f>
        <v>0.702176858187888</v>
      </c>
      <c r="AP121" s="5" t="n">
        <f aca="false">AP120+LN(1+($G121+AP$7)*$AM121)</f>
        <v>0.704963274034492</v>
      </c>
      <c r="AQ121" s="5" t="n">
        <f aca="false">AQ120+LN(1+($G121+AQ$7)*$AM121)</f>
        <v>0.794466425915488</v>
      </c>
      <c r="AR121" s="5" t="n">
        <f aca="false">AR120+LN(1+($G121+AR$7)*$AM121)</f>
        <v>0.797250521730356</v>
      </c>
      <c r="AS121" s="5" t="n">
        <f aca="false">AS120+LN(1+($G121+AS$7)*$AM121)</f>
        <v>0.795478445780409</v>
      </c>
      <c r="AT121" s="5" t="n">
        <f aca="false">AT120+LN(1+($G121+AT$7)*$AM121)</f>
        <v>0.798262516165233</v>
      </c>
      <c r="AU121" s="5" t="n">
        <f aca="false">AU120+LN(1+($G121+AU$7)*$AM121)</f>
        <v>0.795478229704541</v>
      </c>
      <c r="AV121" s="5" t="n">
        <f aca="false">AV120+LN(1+($G121+AV$7)*$AM121)</f>
        <v>0.798262300094794</v>
      </c>
      <c r="AW121" s="5" t="n">
        <f aca="false">AW120+LN(1+($G121+AW$7)*$AM121)</f>
        <v>0.795478229777006</v>
      </c>
      <c r="AX121" s="5" t="n">
        <f aca="false">AX120+LN(1+($G121+AX$7)*$AM121)</f>
        <v>0.798262300167263</v>
      </c>
      <c r="AY121" s="5" t="n">
        <f aca="false">AY120+LN(1+($G121+AY$7)*$AM121)</f>
        <v>0.795478229776992</v>
      </c>
      <c r="AZ121" s="5" t="n">
        <f aca="false">AZ120+LN(1+($G121+AZ$7)*$AM121)</f>
        <v>0.798262300167239</v>
      </c>
      <c r="BA121" s="5" t="n">
        <f aca="false">BA120+LN(1+($G121+BA$7)*$AM121)</f>
        <v>0.795478229776992</v>
      </c>
      <c r="BB121" s="5" t="n">
        <f aca="false">BB120+LN(1+($G121+BB$7)*$AM121)</f>
        <v>0.798262300167239</v>
      </c>
      <c r="BC121" s="5" t="n">
        <f aca="false">BC120+LN(1+($G121+BC$7)*$AM121)</f>
        <v>0.795478229776992</v>
      </c>
      <c r="BD121" s="5" t="n">
        <f aca="false">BD120+LN(1+($G121+BD$7)*$AM121)</f>
        <v>0.798262300167239</v>
      </c>
      <c r="BE121" s="5" t="n">
        <f aca="false">IF(AB121,O121,IF(D121,MIN(O121,AC121*X121+BF120),0))</f>
        <v>0</v>
      </c>
      <c r="BF121" s="5" t="n">
        <f aca="false">IF(OR(AB121,E121),0,BE121-AD121)</f>
        <v>0</v>
      </c>
      <c r="BG121" s="5" t="n">
        <f aca="false">BG120+LN(1+($G121+BG$7)*$AM121)</f>
        <v>0.767633677468609</v>
      </c>
      <c r="BH121" s="5"/>
      <c r="BI121" s="5" t="n">
        <f aca="false">BI120+LN(1+($G121+BI$7)*$AM121)</f>
        <v>0.823315786039856</v>
      </c>
      <c r="BJ121" s="5"/>
      <c r="BK121" s="62" t="n">
        <f aca="false">C121</f>
        <v>56384</v>
      </c>
      <c r="BL121" s="67" t="n">
        <f aca="false">AI121</f>
        <v>0</v>
      </c>
    </row>
    <row r="122" customFormat="false" ht="15" hidden="false" customHeight="true" outlineLevel="0" collapsed="false">
      <c r="A122" s="3" t="n">
        <v>112</v>
      </c>
      <c r="B122" s="38" t="n">
        <f aca="false">EDATE(Inputs!$C$8,3*(A122-1))</f>
        <v>56476</v>
      </c>
      <c r="C122" s="38" t="n">
        <f aca="false">WORKDAY(B122-1,1)</f>
        <v>56478</v>
      </c>
      <c r="D122" s="61" t="b">
        <f aca="false">C122&lt;=Inputs!$C$9</f>
        <v>1</v>
      </c>
      <c r="E122" s="61" t="b">
        <f aca="false">AND(D122,NOT(D123))</f>
        <v>0</v>
      </c>
      <c r="F122" s="63" t="n">
        <f aca="false">(C122-C121)/360</f>
        <v>0.261111111111111</v>
      </c>
      <c r="G122" s="57" t="n">
        <f aca="false">Curve!D115</f>
        <v>0.02252</v>
      </c>
      <c r="H122" s="64" t="n">
        <f aca="false">AF121</f>
        <v>0</v>
      </c>
      <c r="I122" s="64" t="n">
        <f aca="false">IF(D122,H122*Inputs!$G$22,0)</f>
        <v>0</v>
      </c>
      <c r="J122" s="32" t="n">
        <f aca="false">MAX(Inputs!$G$24-(A122-1),1)</f>
        <v>1</v>
      </c>
      <c r="K122" s="64" t="n">
        <f aca="false">IF(D122,MIN(H122-I122,IF(J122&gt;1,(H122-I122)*Inputs!$G$23/((1+Inputs!$G$23)^J122-1),H122-I122)),0)</f>
        <v>0</v>
      </c>
      <c r="L122" s="64" t="n">
        <f aca="false">IF(D122,(H122-I122-K122)*Inputs!$G$21,0)</f>
        <v>0</v>
      </c>
      <c r="M122" s="64" t="n">
        <f aca="false">IF(A122&gt;Inputs!$G$13,(1-Inputs!$G$12)*INDEX($I$11:$I$190,A122-Inputs!$G$13),0)</f>
        <v>0</v>
      </c>
      <c r="N122" s="64" t="n">
        <f aca="false">IF(D122,(H122-I122)*Inputs!$G$23,0)</f>
        <v>0</v>
      </c>
      <c r="O122" s="64" t="n">
        <f aca="false">AG121</f>
        <v>0</v>
      </c>
      <c r="P122" s="64" t="n">
        <f aca="false">AH121</f>
        <v>256983.980657201</v>
      </c>
      <c r="Q122" s="64" t="n">
        <f aca="false">IF(AND(D122,O122+P122&gt;0),Inputs!$C$25+Inputs!$C$26*H122/4,0)</f>
        <v>100000</v>
      </c>
      <c r="R122" s="64" t="n">
        <f aca="false">O122*IF(Inputs!$G$19="",G122+Inputs!$C$13,MAX(Inputs!$G$19,G122+Inputs!$C$13))*F122</f>
        <v>0</v>
      </c>
      <c r="S122" s="64" t="n">
        <f aca="false">P122*(G122+Inputs!$C$14)*F122</f>
        <v>1985.03365232862</v>
      </c>
      <c r="T122" s="64" t="n">
        <f aca="false">N122+M122-Q122-R122-S122</f>
        <v>-101985.033652329</v>
      </c>
      <c r="U122" s="64" t="n">
        <f aca="false">W121</f>
        <v>260422.420657149</v>
      </c>
      <c r="V122" s="64" t="n">
        <f aca="false">MIN(U122+I122,MAX(T122,0))</f>
        <v>0</v>
      </c>
      <c r="W122" s="64" t="n">
        <f aca="false">U122+I122-V122</f>
        <v>260422.420657149</v>
      </c>
      <c r="X122" s="64" t="n">
        <f aca="false">K122+L122+V122+IF(E122,H122-I122-K122-L122,0)</f>
        <v>0</v>
      </c>
      <c r="Y122" s="61" t="b">
        <f aca="false">AND(Inputs!$C$21=1,O122/Inputs!$C$10&lt;=Inputs!$C$22,Inputs!$G$14&lt;Inputs!$C$23,W122&lt;1)</f>
        <v>0</v>
      </c>
      <c r="Z122" s="61" t="b">
        <f aca="false">OR(AND(Inputs!$G$15=1,H122/Inputs!$C$17&lt;=Inputs!$C$24),AND(Inputs!$G$15=2,C122&gt;=Inputs!$G$16))</f>
        <v>0</v>
      </c>
      <c r="AA122" s="61" t="b">
        <f aca="false">OR(AA121,Z122)</f>
        <v>0</v>
      </c>
      <c r="AB122" s="61" t="b">
        <f aca="false">AND(Z122,NOT(AA121),D122,O122&gt;0)</f>
        <v>0</v>
      </c>
      <c r="AC122" s="63" t="n">
        <f aca="false">IF(AND(Y122,NOT(E122),O122+P122&gt;0),O122/(O122+P122),1)</f>
        <v>1</v>
      </c>
      <c r="AD122" s="64" t="n">
        <f aca="false">IF(AB122,O122,IF(D122,MIN(O122,IF(E122,AC122*X122+BF121,BE122*Inputs!$G$20)),0))</f>
        <v>0</v>
      </c>
      <c r="AE122" s="64" t="n">
        <f aca="false">IF(AB122,P122,IF(D122,MAX(MIN(P122,X122-MIN(O122,AC122*X122)),0),0))</f>
        <v>0</v>
      </c>
      <c r="AF122" s="64" t="n">
        <f aca="false">IF(OR(AB122,E122),0,MAX(H122-I122-K122-L122,0))</f>
        <v>0</v>
      </c>
      <c r="AG122" s="64" t="n">
        <f aca="false">IF(E122,0,O122-AD122)</f>
        <v>0</v>
      </c>
      <c r="AH122" s="64" t="n">
        <f aca="false">IF(OR(AB122,E122),0,P122-AE122)</f>
        <v>256983.980657201</v>
      </c>
      <c r="AI122" s="64" t="n">
        <f aca="false">IF(D122,R122+AD122,0)</f>
        <v>0</v>
      </c>
      <c r="AJ122" s="65" t="n">
        <f aca="false">(C122-Inputs!$G$6)/365</f>
        <v>27.9150684931507</v>
      </c>
      <c r="AK122" s="29" t="n">
        <f aca="false">AG122/Inputs!$C$10</f>
        <v>0</v>
      </c>
      <c r="AL122" s="5"/>
      <c r="AM122" s="66" t="n">
        <f aca="false">F122</f>
        <v>0.261111111111111</v>
      </c>
      <c r="AN122" s="5"/>
      <c r="AO122" s="5" t="n">
        <f aca="false">AO121+LN(1+($G122+AO$7)*$AM122)</f>
        <v>0.7087145519313</v>
      </c>
      <c r="AP122" s="5" t="n">
        <f aca="false">AP121+LN(1+($G122+AP$7)*$AM122)</f>
        <v>0.711526908402905</v>
      </c>
      <c r="AQ122" s="5" t="n">
        <f aca="false">AQ121+LN(1+($G122+AQ$7)*$AM122)</f>
        <v>0.80186329459417</v>
      </c>
      <c r="AR122" s="5" t="n">
        <f aca="false">AR121+LN(1+($G122+AR$7)*$AM122)</f>
        <v>0.804673308756364</v>
      </c>
      <c r="AS122" s="5" t="n">
        <f aca="false">AS121+LN(1+($G122+AS$7)*$AM122)</f>
        <v>0.802884735790358</v>
      </c>
      <c r="AT122" s="5" t="n">
        <f aca="false">AT121+LN(1+($G122+AT$7)*$AM122)</f>
        <v>0.805694724278329</v>
      </c>
      <c r="AU122" s="5" t="n">
        <f aca="false">AU121+LN(1+($G122+AU$7)*$AM122)</f>
        <v>0.802884517702947</v>
      </c>
      <c r="AV122" s="5" t="n">
        <f aca="false">AV121+LN(1+($G122+AV$7)*$AM122)</f>
        <v>0.805694506196398</v>
      </c>
      <c r="AW122" s="5" t="n">
        <f aca="false">AW121+LN(1+($G122+AW$7)*$AM122)</f>
        <v>0.802884517776086</v>
      </c>
      <c r="AX122" s="5" t="n">
        <f aca="false">AX121+LN(1+($G122+AX$7)*$AM122)</f>
        <v>0.805694506269542</v>
      </c>
      <c r="AY122" s="5" t="n">
        <f aca="false">AY121+LN(1+($G122+AY$7)*$AM122)</f>
        <v>0.802884517776072</v>
      </c>
      <c r="AZ122" s="5" t="n">
        <f aca="false">AZ121+LN(1+($G122+AZ$7)*$AM122)</f>
        <v>0.805694506269517</v>
      </c>
      <c r="BA122" s="5" t="n">
        <f aca="false">BA121+LN(1+($G122+BA$7)*$AM122)</f>
        <v>0.802884517776072</v>
      </c>
      <c r="BB122" s="5" t="n">
        <f aca="false">BB121+LN(1+($G122+BB$7)*$AM122)</f>
        <v>0.805694506269517</v>
      </c>
      <c r="BC122" s="5" t="n">
        <f aca="false">BC121+LN(1+($G122+BC$7)*$AM122)</f>
        <v>0.802884517776072</v>
      </c>
      <c r="BD122" s="5" t="n">
        <f aca="false">BD121+LN(1+($G122+BD$7)*$AM122)</f>
        <v>0.805694506269517</v>
      </c>
      <c r="BE122" s="5" t="n">
        <f aca="false">IF(AB122,O122,IF(D122,MIN(O122,AC122*X122+BF121),0))</f>
        <v>0</v>
      </c>
      <c r="BF122" s="5" t="n">
        <f aca="false">IF(OR(AB122,E122),0,BE122-AD122)</f>
        <v>0</v>
      </c>
      <c r="BG122" s="5" t="n">
        <f aca="false">BG121+LN(1+($G122+BG$7)*$AM122)</f>
        <v>0.774780747482857</v>
      </c>
      <c r="BH122" s="5"/>
      <c r="BI122" s="5" t="n">
        <f aca="false">BI121+LN(1+($G122+BI$7)*$AM122)</f>
        <v>0.830981224847218</v>
      </c>
      <c r="BJ122" s="5"/>
      <c r="BK122" s="62" t="n">
        <f aca="false">C122</f>
        <v>56478</v>
      </c>
      <c r="BL122" s="67" t="n">
        <f aca="false">AI122</f>
        <v>0</v>
      </c>
    </row>
    <row r="123" customFormat="false" ht="15" hidden="false" customHeight="true" outlineLevel="0" collapsed="false">
      <c r="A123" s="3" t="n">
        <v>113</v>
      </c>
      <c r="B123" s="38" t="n">
        <f aca="false">EDATE(Inputs!$C$8,3*(A123-1))</f>
        <v>56568</v>
      </c>
      <c r="C123" s="38" t="n">
        <f aca="false">WORKDAY(B123-1,1)</f>
        <v>56569</v>
      </c>
      <c r="D123" s="61" t="b">
        <f aca="false">C123&lt;=Inputs!$C$9</f>
        <v>1</v>
      </c>
      <c r="E123" s="61" t="b">
        <f aca="false">AND(D123,NOT(D124))</f>
        <v>0</v>
      </c>
      <c r="F123" s="63" t="n">
        <f aca="false">(C123-C122)/360</f>
        <v>0.252777777777778</v>
      </c>
      <c r="G123" s="57" t="n">
        <f aca="false">Curve!D116</f>
        <v>0.02252</v>
      </c>
      <c r="H123" s="64" t="n">
        <f aca="false">AF122</f>
        <v>0</v>
      </c>
      <c r="I123" s="64" t="n">
        <f aca="false">IF(D123,H123*Inputs!$G$22,0)</f>
        <v>0</v>
      </c>
      <c r="J123" s="32" t="n">
        <f aca="false">MAX(Inputs!$G$24-(A123-1),1)</f>
        <v>1</v>
      </c>
      <c r="K123" s="64" t="n">
        <f aca="false">IF(D123,MIN(H123-I123,IF(J123&gt;1,(H123-I123)*Inputs!$G$23/((1+Inputs!$G$23)^J123-1),H123-I123)),0)</f>
        <v>0</v>
      </c>
      <c r="L123" s="64" t="n">
        <f aca="false">IF(D123,(H123-I123-K123)*Inputs!$G$21,0)</f>
        <v>0</v>
      </c>
      <c r="M123" s="64" t="n">
        <f aca="false">IF(A123&gt;Inputs!$G$13,(1-Inputs!$G$12)*INDEX($I$11:$I$190,A123-Inputs!$G$13),0)</f>
        <v>0</v>
      </c>
      <c r="N123" s="64" t="n">
        <f aca="false">IF(D123,(H123-I123)*Inputs!$G$23,0)</f>
        <v>0</v>
      </c>
      <c r="O123" s="64" t="n">
        <f aca="false">AG122</f>
        <v>0</v>
      </c>
      <c r="P123" s="64" t="n">
        <f aca="false">AH122</f>
        <v>256983.980657201</v>
      </c>
      <c r="Q123" s="64" t="n">
        <f aca="false">IF(AND(D123,O123+P123&gt;0),Inputs!$C$25+Inputs!$C$26*H123/4,0)</f>
        <v>100000</v>
      </c>
      <c r="R123" s="64" t="n">
        <f aca="false">O123*IF(Inputs!$G$19="",G123+Inputs!$C$13,MAX(Inputs!$G$19,G123+Inputs!$C$13))*F123</f>
        <v>0</v>
      </c>
      <c r="S123" s="64" t="n">
        <f aca="false">P123*(G123+Inputs!$C$14)*F123</f>
        <v>1921.68151448835</v>
      </c>
      <c r="T123" s="64" t="n">
        <f aca="false">N123+M123-Q123-R123-S123</f>
        <v>-101921.681514488</v>
      </c>
      <c r="U123" s="64" t="n">
        <f aca="false">W122</f>
        <v>260422.420657149</v>
      </c>
      <c r="V123" s="64" t="n">
        <f aca="false">MIN(U123+I123,MAX(T123,0))</f>
        <v>0</v>
      </c>
      <c r="W123" s="64" t="n">
        <f aca="false">U123+I123-V123</f>
        <v>260422.420657149</v>
      </c>
      <c r="X123" s="64" t="n">
        <f aca="false">K123+L123+V123+IF(E123,H123-I123-K123-L123,0)</f>
        <v>0</v>
      </c>
      <c r="Y123" s="61" t="b">
        <f aca="false">AND(Inputs!$C$21=1,O123/Inputs!$C$10&lt;=Inputs!$C$22,Inputs!$G$14&lt;Inputs!$C$23,W123&lt;1)</f>
        <v>0</v>
      </c>
      <c r="Z123" s="61" t="b">
        <f aca="false">OR(AND(Inputs!$G$15=1,H123/Inputs!$C$17&lt;=Inputs!$C$24),AND(Inputs!$G$15=2,C123&gt;=Inputs!$G$16))</f>
        <v>0</v>
      </c>
      <c r="AA123" s="61" t="b">
        <f aca="false">OR(AA122,Z123)</f>
        <v>0</v>
      </c>
      <c r="AB123" s="61" t="b">
        <f aca="false">AND(Z123,NOT(AA122),D123,O123&gt;0)</f>
        <v>0</v>
      </c>
      <c r="AC123" s="63" t="n">
        <f aca="false">IF(AND(Y123,NOT(E123),O123+P123&gt;0),O123/(O123+P123),1)</f>
        <v>1</v>
      </c>
      <c r="AD123" s="64" t="n">
        <f aca="false">IF(AB123,O123,IF(D123,MIN(O123,IF(E123,AC123*X123+BF122,BE123*Inputs!$G$20)),0))</f>
        <v>0</v>
      </c>
      <c r="AE123" s="64" t="n">
        <f aca="false">IF(AB123,P123,IF(D123,MAX(MIN(P123,X123-MIN(O123,AC123*X123)),0),0))</f>
        <v>0</v>
      </c>
      <c r="AF123" s="64" t="n">
        <f aca="false">IF(OR(AB123,E123),0,MAX(H123-I123-K123-L123,0))</f>
        <v>0</v>
      </c>
      <c r="AG123" s="64" t="n">
        <f aca="false">IF(E123,0,O123-AD123)</f>
        <v>0</v>
      </c>
      <c r="AH123" s="64" t="n">
        <f aca="false">IF(OR(AB123,E123),0,P123-AE123)</f>
        <v>256983.980657201</v>
      </c>
      <c r="AI123" s="64" t="n">
        <f aca="false">IF(D123,R123+AD123,0)</f>
        <v>0</v>
      </c>
      <c r="AJ123" s="65" t="n">
        <f aca="false">(C123-Inputs!$G$6)/365</f>
        <v>28.1643835616438</v>
      </c>
      <c r="AK123" s="29" t="n">
        <f aca="false">AG123/Inputs!$C$10</f>
        <v>0</v>
      </c>
      <c r="AL123" s="5"/>
      <c r="AM123" s="66" t="n">
        <f aca="false">F123</f>
        <v>0.252777777777778</v>
      </c>
      <c r="AN123" s="5"/>
      <c r="AO123" s="5" t="n">
        <f aca="false">AO122+LN(1+($G123+AO$7)*$AM123)</f>
        <v>0.71504425480613</v>
      </c>
      <c r="AP123" s="5" t="n">
        <f aca="false">AP122+LN(1+($G123+AP$7)*$AM123)</f>
        <v>0.717881729244544</v>
      </c>
      <c r="AQ123" s="5" t="n">
        <f aca="false">AQ122+LN(1+($G123+AQ$7)*$AM123)</f>
        <v>0.809024936273852</v>
      </c>
      <c r="AR123" s="5" t="n">
        <f aca="false">AR122+LN(1+($G123+AR$7)*$AM123)</f>
        <v>0.811860047515196</v>
      </c>
      <c r="AS123" s="5" t="n">
        <f aca="false">AS122+LN(1+($G123+AS$7)*$AM123)</f>
        <v>0.810055500267561</v>
      </c>
      <c r="AT123" s="5" t="n">
        <f aca="false">AT122+LN(1+($G123+AT$7)*$AM123)</f>
        <v>0.81289058560573</v>
      </c>
      <c r="AU123" s="5" t="n">
        <f aca="false">AU122+LN(1+($G123+AU$7)*$AM123)</f>
        <v>0.810055280232346</v>
      </c>
      <c r="AV123" s="5" t="n">
        <f aca="false">AV122+LN(1+($G123+AV$7)*$AM123)</f>
        <v>0.812890365576044</v>
      </c>
      <c r="AW123" s="5" t="n">
        <f aca="false">AW122+LN(1+($G123+AW$7)*$AM123)</f>
        <v>0.810055280306139</v>
      </c>
      <c r="AX123" s="5" t="n">
        <f aca="false">AX122+LN(1+($G123+AX$7)*$AM123)</f>
        <v>0.812890365649841</v>
      </c>
      <c r="AY123" s="5" t="n">
        <f aca="false">AY122+LN(1+($G123+AY$7)*$AM123)</f>
        <v>0.810055280306125</v>
      </c>
      <c r="AZ123" s="5" t="n">
        <f aca="false">AZ122+LN(1+($G123+AZ$7)*$AM123)</f>
        <v>0.812890365649816</v>
      </c>
      <c r="BA123" s="5" t="n">
        <f aca="false">BA122+LN(1+($G123+BA$7)*$AM123)</f>
        <v>0.810055280306125</v>
      </c>
      <c r="BB123" s="5" t="n">
        <f aca="false">BB122+LN(1+($G123+BB$7)*$AM123)</f>
        <v>0.812890365649816</v>
      </c>
      <c r="BC123" s="5" t="n">
        <f aca="false">BC122+LN(1+($G123+BC$7)*$AM123)</f>
        <v>0.810055280306125</v>
      </c>
      <c r="BD123" s="5" t="n">
        <f aca="false">BD122+LN(1+($G123+BD$7)*$AM123)</f>
        <v>0.812890365649816</v>
      </c>
      <c r="BE123" s="5" t="n">
        <f aca="false">IF(AB123,O123,IF(D123,MIN(O123,AC123*X123+BF122),0))</f>
        <v>0</v>
      </c>
      <c r="BF123" s="5" t="n">
        <f aca="false">IF(OR(AB123,E123),0,BE123-AD123)</f>
        <v>0</v>
      </c>
      <c r="BG123" s="5" t="n">
        <f aca="false">BG122+LN(1+($G123+BG$7)*$AM123)</f>
        <v>0.781700506862504</v>
      </c>
      <c r="BH123" s="5"/>
      <c r="BI123" s="5" t="n">
        <f aca="false">BI122+LN(1+($G123+BI$7)*$AM123)</f>
        <v>0.838402927540903</v>
      </c>
      <c r="BJ123" s="5"/>
      <c r="BK123" s="62" t="n">
        <f aca="false">C123</f>
        <v>56569</v>
      </c>
      <c r="BL123" s="67" t="n">
        <f aca="false">AI123</f>
        <v>0</v>
      </c>
    </row>
    <row r="124" customFormat="false" ht="15" hidden="false" customHeight="true" outlineLevel="0" collapsed="false">
      <c r="A124" s="3" t="n">
        <v>114</v>
      </c>
      <c r="B124" s="38" t="n">
        <f aca="false">EDATE(Inputs!$C$8,3*(A124-1))</f>
        <v>56660</v>
      </c>
      <c r="C124" s="38" t="n">
        <f aca="false">WORKDAY(B124-1,1)</f>
        <v>56660</v>
      </c>
      <c r="D124" s="61" t="b">
        <f aca="false">C124&lt;=Inputs!$C$9</f>
        <v>1</v>
      </c>
      <c r="E124" s="61" t="b">
        <f aca="false">AND(D124,NOT(D125))</f>
        <v>0</v>
      </c>
      <c r="F124" s="63" t="n">
        <f aca="false">(C124-C123)/360</f>
        <v>0.252777777777778</v>
      </c>
      <c r="G124" s="57" t="n">
        <f aca="false">Curve!D117</f>
        <v>0.02252</v>
      </c>
      <c r="H124" s="64" t="n">
        <f aca="false">AF123</f>
        <v>0</v>
      </c>
      <c r="I124" s="64" t="n">
        <f aca="false">IF(D124,H124*Inputs!$G$22,0)</f>
        <v>0</v>
      </c>
      <c r="J124" s="32" t="n">
        <f aca="false">MAX(Inputs!$G$24-(A124-1),1)</f>
        <v>1</v>
      </c>
      <c r="K124" s="64" t="n">
        <f aca="false">IF(D124,MIN(H124-I124,IF(J124&gt;1,(H124-I124)*Inputs!$G$23/((1+Inputs!$G$23)^J124-1),H124-I124)),0)</f>
        <v>0</v>
      </c>
      <c r="L124" s="64" t="n">
        <f aca="false">IF(D124,(H124-I124-K124)*Inputs!$G$21,0)</f>
        <v>0</v>
      </c>
      <c r="M124" s="64" t="n">
        <f aca="false">IF(A124&gt;Inputs!$G$13,(1-Inputs!$G$12)*INDEX($I$11:$I$190,A124-Inputs!$G$13),0)</f>
        <v>0</v>
      </c>
      <c r="N124" s="64" t="n">
        <f aca="false">IF(D124,(H124-I124)*Inputs!$G$23,0)</f>
        <v>0</v>
      </c>
      <c r="O124" s="64" t="n">
        <f aca="false">AG123</f>
        <v>0</v>
      </c>
      <c r="P124" s="64" t="n">
        <f aca="false">AH123</f>
        <v>256983.980657201</v>
      </c>
      <c r="Q124" s="64" t="n">
        <f aca="false">IF(AND(D124,O124+P124&gt;0),Inputs!$C$25+Inputs!$C$26*H124/4,0)</f>
        <v>100000</v>
      </c>
      <c r="R124" s="64" t="n">
        <f aca="false">O124*IF(Inputs!$G$19="",G124+Inputs!$C$13,MAX(Inputs!$G$19,G124+Inputs!$C$13))*F124</f>
        <v>0</v>
      </c>
      <c r="S124" s="64" t="n">
        <f aca="false">P124*(G124+Inputs!$C$14)*F124</f>
        <v>1921.68151448835</v>
      </c>
      <c r="T124" s="64" t="n">
        <f aca="false">N124+M124-Q124-R124-S124</f>
        <v>-101921.681514488</v>
      </c>
      <c r="U124" s="64" t="n">
        <f aca="false">W123</f>
        <v>260422.420657149</v>
      </c>
      <c r="V124" s="64" t="n">
        <f aca="false">MIN(U124+I124,MAX(T124,0))</f>
        <v>0</v>
      </c>
      <c r="W124" s="64" t="n">
        <f aca="false">U124+I124-V124</f>
        <v>260422.420657149</v>
      </c>
      <c r="X124" s="64" t="n">
        <f aca="false">K124+L124+V124+IF(E124,H124-I124-K124-L124,0)</f>
        <v>0</v>
      </c>
      <c r="Y124" s="61" t="b">
        <f aca="false">AND(Inputs!$C$21=1,O124/Inputs!$C$10&lt;=Inputs!$C$22,Inputs!$G$14&lt;Inputs!$C$23,W124&lt;1)</f>
        <v>0</v>
      </c>
      <c r="Z124" s="61" t="b">
        <f aca="false">OR(AND(Inputs!$G$15=1,H124/Inputs!$C$17&lt;=Inputs!$C$24),AND(Inputs!$G$15=2,C124&gt;=Inputs!$G$16))</f>
        <v>0</v>
      </c>
      <c r="AA124" s="61" t="b">
        <f aca="false">OR(AA123,Z124)</f>
        <v>0</v>
      </c>
      <c r="AB124" s="61" t="b">
        <f aca="false">AND(Z124,NOT(AA123),D124,O124&gt;0)</f>
        <v>0</v>
      </c>
      <c r="AC124" s="63" t="n">
        <f aca="false">IF(AND(Y124,NOT(E124),O124+P124&gt;0),O124/(O124+P124),1)</f>
        <v>1</v>
      </c>
      <c r="AD124" s="64" t="n">
        <f aca="false">IF(AB124,O124,IF(D124,MIN(O124,IF(E124,AC124*X124+BF123,BE124*Inputs!$G$20)),0))</f>
        <v>0</v>
      </c>
      <c r="AE124" s="64" t="n">
        <f aca="false">IF(AB124,P124,IF(D124,MAX(MIN(P124,X124-MIN(O124,AC124*X124)),0),0))</f>
        <v>0</v>
      </c>
      <c r="AF124" s="64" t="n">
        <f aca="false">IF(OR(AB124,E124),0,MAX(H124-I124-K124-L124,0))</f>
        <v>0</v>
      </c>
      <c r="AG124" s="64" t="n">
        <f aca="false">IF(E124,0,O124-AD124)</f>
        <v>0</v>
      </c>
      <c r="AH124" s="64" t="n">
        <f aca="false">IF(OR(AB124,E124),0,P124-AE124)</f>
        <v>256983.980657201</v>
      </c>
      <c r="AI124" s="64" t="n">
        <f aca="false">IF(D124,R124+AD124,0)</f>
        <v>0</v>
      </c>
      <c r="AJ124" s="65" t="n">
        <f aca="false">(C124-Inputs!$G$6)/365</f>
        <v>28.413698630137</v>
      </c>
      <c r="AK124" s="29" t="n">
        <f aca="false">AG124/Inputs!$C$10</f>
        <v>0</v>
      </c>
      <c r="AL124" s="5"/>
      <c r="AM124" s="66" t="n">
        <f aca="false">F124</f>
        <v>0.252777777777778</v>
      </c>
      <c r="AN124" s="5"/>
      <c r="AO124" s="5" t="n">
        <f aca="false">AO123+LN(1+($G124+AO$7)*$AM124)</f>
        <v>0.72137395768096</v>
      </c>
      <c r="AP124" s="5" t="n">
        <f aca="false">AP123+LN(1+($G124+AP$7)*$AM124)</f>
        <v>0.724236550086183</v>
      </c>
      <c r="AQ124" s="5" t="n">
        <f aca="false">AQ123+LN(1+($G124+AQ$7)*$AM124)</f>
        <v>0.816186577953535</v>
      </c>
      <c r="AR124" s="5" t="n">
        <f aca="false">AR123+LN(1+($G124+AR$7)*$AM124)</f>
        <v>0.819046786274027</v>
      </c>
      <c r="AS124" s="5" t="n">
        <f aca="false">AS123+LN(1+($G124+AS$7)*$AM124)</f>
        <v>0.817226264744765</v>
      </c>
      <c r="AT124" s="5" t="n">
        <f aca="false">AT123+LN(1+($G124+AT$7)*$AM124)</f>
        <v>0.820086446933131</v>
      </c>
      <c r="AU124" s="5" t="n">
        <f aca="false">AU123+LN(1+($G124+AU$7)*$AM124)</f>
        <v>0.817226042761745</v>
      </c>
      <c r="AV124" s="5" t="n">
        <f aca="false">AV123+LN(1+($G124+AV$7)*$AM124)</f>
        <v>0.82008622495569</v>
      </c>
      <c r="AW124" s="5" t="n">
        <f aca="false">AW123+LN(1+($G124+AW$7)*$AM124)</f>
        <v>0.817226042836192</v>
      </c>
      <c r="AX124" s="5" t="n">
        <f aca="false">AX123+LN(1+($G124+AX$7)*$AM124)</f>
        <v>0.82008622503014</v>
      </c>
      <c r="AY124" s="5" t="n">
        <f aca="false">AY123+LN(1+($G124+AY$7)*$AM124)</f>
        <v>0.817226042836177</v>
      </c>
      <c r="AZ124" s="5" t="n">
        <f aca="false">AZ123+LN(1+($G124+AZ$7)*$AM124)</f>
        <v>0.820086225030115</v>
      </c>
      <c r="BA124" s="5" t="n">
        <f aca="false">BA123+LN(1+($G124+BA$7)*$AM124)</f>
        <v>0.817226042836177</v>
      </c>
      <c r="BB124" s="5" t="n">
        <f aca="false">BB123+LN(1+($G124+BB$7)*$AM124)</f>
        <v>0.820086225030115</v>
      </c>
      <c r="BC124" s="5" t="n">
        <f aca="false">BC123+LN(1+($G124+BC$7)*$AM124)</f>
        <v>0.817226042836177</v>
      </c>
      <c r="BD124" s="5" t="n">
        <f aca="false">BD123+LN(1+($G124+BD$7)*$AM124)</f>
        <v>0.820086225030115</v>
      </c>
      <c r="BE124" s="5" t="n">
        <f aca="false">IF(AB124,O124,IF(D124,MIN(O124,AC124*X124+BF123),0))</f>
        <v>0</v>
      </c>
      <c r="BF124" s="5" t="n">
        <f aca="false">IF(OR(AB124,E124),0,BE124-AD124)</f>
        <v>0</v>
      </c>
      <c r="BG124" s="5" t="n">
        <f aca="false">BG123+LN(1+($G124+BG$7)*$AM124)</f>
        <v>0.788620266242151</v>
      </c>
      <c r="BH124" s="5"/>
      <c r="BI124" s="5" t="n">
        <f aca="false">BI123+LN(1+($G124+BI$7)*$AM124)</f>
        <v>0.845824630234589</v>
      </c>
      <c r="BJ124" s="5"/>
      <c r="BK124" s="62" t="n">
        <f aca="false">C124</f>
        <v>56660</v>
      </c>
      <c r="BL124" s="67" t="n">
        <f aca="false">AI124</f>
        <v>0</v>
      </c>
    </row>
    <row r="125" customFormat="false" ht="15" hidden="false" customHeight="true" outlineLevel="0" collapsed="false">
      <c r="A125" s="3" t="n">
        <v>115</v>
      </c>
      <c r="B125" s="38" t="n">
        <f aca="false">EDATE(Inputs!$C$8,3*(A125-1))</f>
        <v>56749</v>
      </c>
      <c r="C125" s="38" t="n">
        <f aca="false">WORKDAY(B125-1,1)</f>
        <v>56751</v>
      </c>
      <c r="D125" s="61" t="b">
        <f aca="false">C125&lt;=Inputs!$C$9</f>
        <v>1</v>
      </c>
      <c r="E125" s="61" t="b">
        <f aca="false">AND(D125,NOT(D126))</f>
        <v>0</v>
      </c>
      <c r="F125" s="63" t="n">
        <f aca="false">(C125-C124)/360</f>
        <v>0.252777777777778</v>
      </c>
      <c r="G125" s="57" t="n">
        <f aca="false">Curve!D118</f>
        <v>0.02252</v>
      </c>
      <c r="H125" s="64" t="n">
        <f aca="false">AF124</f>
        <v>0</v>
      </c>
      <c r="I125" s="64" t="n">
        <f aca="false">IF(D125,H125*Inputs!$G$22,0)</f>
        <v>0</v>
      </c>
      <c r="J125" s="32" t="n">
        <f aca="false">MAX(Inputs!$G$24-(A125-1),1)</f>
        <v>1</v>
      </c>
      <c r="K125" s="64" t="n">
        <f aca="false">IF(D125,MIN(H125-I125,IF(J125&gt;1,(H125-I125)*Inputs!$G$23/((1+Inputs!$G$23)^J125-1),H125-I125)),0)</f>
        <v>0</v>
      </c>
      <c r="L125" s="64" t="n">
        <f aca="false">IF(D125,(H125-I125-K125)*Inputs!$G$21,0)</f>
        <v>0</v>
      </c>
      <c r="M125" s="64" t="n">
        <f aca="false">IF(A125&gt;Inputs!$G$13,(1-Inputs!$G$12)*INDEX($I$11:$I$190,A125-Inputs!$G$13),0)</f>
        <v>0</v>
      </c>
      <c r="N125" s="64" t="n">
        <f aca="false">IF(D125,(H125-I125)*Inputs!$G$23,0)</f>
        <v>0</v>
      </c>
      <c r="O125" s="64" t="n">
        <f aca="false">AG124</f>
        <v>0</v>
      </c>
      <c r="P125" s="64" t="n">
        <f aca="false">AH124</f>
        <v>256983.980657201</v>
      </c>
      <c r="Q125" s="64" t="n">
        <f aca="false">IF(AND(D125,O125+P125&gt;0),Inputs!$C$25+Inputs!$C$26*H125/4,0)</f>
        <v>100000</v>
      </c>
      <c r="R125" s="64" t="n">
        <f aca="false">O125*IF(Inputs!$G$19="",G125+Inputs!$C$13,MAX(Inputs!$G$19,G125+Inputs!$C$13))*F125</f>
        <v>0</v>
      </c>
      <c r="S125" s="64" t="n">
        <f aca="false">P125*(G125+Inputs!$C$14)*F125</f>
        <v>1921.68151448835</v>
      </c>
      <c r="T125" s="64" t="n">
        <f aca="false">N125+M125-Q125-R125-S125</f>
        <v>-101921.681514488</v>
      </c>
      <c r="U125" s="64" t="n">
        <f aca="false">W124</f>
        <v>260422.420657149</v>
      </c>
      <c r="V125" s="64" t="n">
        <f aca="false">MIN(U125+I125,MAX(T125,0))</f>
        <v>0</v>
      </c>
      <c r="W125" s="64" t="n">
        <f aca="false">U125+I125-V125</f>
        <v>260422.420657149</v>
      </c>
      <c r="X125" s="64" t="n">
        <f aca="false">K125+L125+V125+IF(E125,H125-I125-K125-L125,0)</f>
        <v>0</v>
      </c>
      <c r="Y125" s="61" t="b">
        <f aca="false">AND(Inputs!$C$21=1,O125/Inputs!$C$10&lt;=Inputs!$C$22,Inputs!$G$14&lt;Inputs!$C$23,W125&lt;1)</f>
        <v>0</v>
      </c>
      <c r="Z125" s="61" t="b">
        <f aca="false">OR(AND(Inputs!$G$15=1,H125/Inputs!$C$17&lt;=Inputs!$C$24),AND(Inputs!$G$15=2,C125&gt;=Inputs!$G$16))</f>
        <v>0</v>
      </c>
      <c r="AA125" s="61" t="b">
        <f aca="false">OR(AA124,Z125)</f>
        <v>0</v>
      </c>
      <c r="AB125" s="61" t="b">
        <f aca="false">AND(Z125,NOT(AA124),D125,O125&gt;0)</f>
        <v>0</v>
      </c>
      <c r="AC125" s="63" t="n">
        <f aca="false">IF(AND(Y125,NOT(E125),O125+P125&gt;0),O125/(O125+P125),1)</f>
        <v>1</v>
      </c>
      <c r="AD125" s="64" t="n">
        <f aca="false">IF(AB125,O125,IF(D125,MIN(O125,IF(E125,AC125*X125+BF124,BE125*Inputs!$G$20)),0))</f>
        <v>0</v>
      </c>
      <c r="AE125" s="64" t="n">
        <f aca="false">IF(AB125,P125,IF(D125,MAX(MIN(P125,X125-MIN(O125,AC125*X125)),0),0))</f>
        <v>0</v>
      </c>
      <c r="AF125" s="64" t="n">
        <f aca="false">IF(OR(AB125,E125),0,MAX(H125-I125-K125-L125,0))</f>
        <v>0</v>
      </c>
      <c r="AG125" s="64" t="n">
        <f aca="false">IF(E125,0,O125-AD125)</f>
        <v>0</v>
      </c>
      <c r="AH125" s="64" t="n">
        <f aca="false">IF(OR(AB125,E125),0,P125-AE125)</f>
        <v>256983.980657201</v>
      </c>
      <c r="AI125" s="64" t="n">
        <f aca="false">IF(D125,R125+AD125,0)</f>
        <v>0</v>
      </c>
      <c r="AJ125" s="65" t="n">
        <f aca="false">(C125-Inputs!$G$6)/365</f>
        <v>28.6630136986301</v>
      </c>
      <c r="AK125" s="29" t="n">
        <f aca="false">AG125/Inputs!$C$10</f>
        <v>0</v>
      </c>
      <c r="AL125" s="5"/>
      <c r="AM125" s="66" t="n">
        <f aca="false">F125</f>
        <v>0.252777777777778</v>
      </c>
      <c r="AN125" s="5"/>
      <c r="AO125" s="5" t="n">
        <f aca="false">AO124+LN(1+($G125+AO$7)*$AM125)</f>
        <v>0.72770366055579</v>
      </c>
      <c r="AP125" s="5" t="n">
        <f aca="false">AP124+LN(1+($G125+AP$7)*$AM125)</f>
        <v>0.730591370927821</v>
      </c>
      <c r="AQ125" s="5" t="n">
        <f aca="false">AQ124+LN(1+($G125+AQ$7)*$AM125)</f>
        <v>0.823348219633218</v>
      </c>
      <c r="AR125" s="5" t="n">
        <f aca="false">AR124+LN(1+($G125+AR$7)*$AM125)</f>
        <v>0.826233525032859</v>
      </c>
      <c r="AS125" s="5" t="n">
        <f aca="false">AS124+LN(1+($G125+AS$7)*$AM125)</f>
        <v>0.824397029221968</v>
      </c>
      <c r="AT125" s="5" t="n">
        <f aca="false">AT124+LN(1+($G125+AT$7)*$AM125)</f>
        <v>0.827282308260531</v>
      </c>
      <c r="AU125" s="5" t="n">
        <f aca="false">AU124+LN(1+($G125+AU$7)*$AM125)</f>
        <v>0.824396805291144</v>
      </c>
      <c r="AV125" s="5" t="n">
        <f aca="false">AV124+LN(1+($G125+AV$7)*$AM125)</f>
        <v>0.827282084335335</v>
      </c>
      <c r="AW125" s="5" t="n">
        <f aca="false">AW124+LN(1+($G125+AW$7)*$AM125)</f>
        <v>0.824396805366244</v>
      </c>
      <c r="AX125" s="5" t="n">
        <f aca="false">AX124+LN(1+($G125+AX$7)*$AM125)</f>
        <v>0.827282084410439</v>
      </c>
      <c r="AY125" s="5" t="n">
        <f aca="false">AY124+LN(1+($G125+AY$7)*$AM125)</f>
        <v>0.824396805366229</v>
      </c>
      <c r="AZ125" s="5" t="n">
        <f aca="false">AZ124+LN(1+($G125+AZ$7)*$AM125)</f>
        <v>0.827282084410413</v>
      </c>
      <c r="BA125" s="5" t="n">
        <f aca="false">BA124+LN(1+($G125+BA$7)*$AM125)</f>
        <v>0.824396805366229</v>
      </c>
      <c r="BB125" s="5" t="n">
        <f aca="false">BB124+LN(1+($G125+BB$7)*$AM125)</f>
        <v>0.827282084410413</v>
      </c>
      <c r="BC125" s="5" t="n">
        <f aca="false">BC124+LN(1+($G125+BC$7)*$AM125)</f>
        <v>0.824396805366229</v>
      </c>
      <c r="BD125" s="5" t="n">
        <f aca="false">BD124+LN(1+($G125+BD$7)*$AM125)</f>
        <v>0.827282084410413</v>
      </c>
      <c r="BE125" s="5" t="n">
        <f aca="false">IF(AB125,O125,IF(D125,MIN(O125,AC125*X125+BF124),0))</f>
        <v>0</v>
      </c>
      <c r="BF125" s="5" t="n">
        <f aca="false">IF(OR(AB125,E125),0,BE125-AD125)</f>
        <v>0</v>
      </c>
      <c r="BG125" s="5" t="n">
        <f aca="false">BG124+LN(1+($G125+BG$7)*$AM125)</f>
        <v>0.795540025621798</v>
      </c>
      <c r="BH125" s="5"/>
      <c r="BI125" s="5" t="n">
        <f aca="false">BI124+LN(1+($G125+BI$7)*$AM125)</f>
        <v>0.853246332928275</v>
      </c>
      <c r="BJ125" s="5"/>
      <c r="BK125" s="62" t="n">
        <f aca="false">C125</f>
        <v>56751</v>
      </c>
      <c r="BL125" s="67" t="n">
        <f aca="false">AI125</f>
        <v>0</v>
      </c>
    </row>
    <row r="126" customFormat="false" ht="15" hidden="false" customHeight="true" outlineLevel="0" collapsed="false">
      <c r="A126" s="3" t="n">
        <v>116</v>
      </c>
      <c r="B126" s="38" t="n">
        <f aca="false">EDATE(Inputs!$C$8,3*(A126-1))</f>
        <v>56841</v>
      </c>
      <c r="C126" s="38" t="n">
        <f aca="false">WORKDAY(B126-1,1)</f>
        <v>56842</v>
      </c>
      <c r="D126" s="61" t="b">
        <f aca="false">C126&lt;=Inputs!$C$9</f>
        <v>1</v>
      </c>
      <c r="E126" s="61" t="b">
        <f aca="false">AND(D126,NOT(D127))</f>
        <v>0</v>
      </c>
      <c r="F126" s="63" t="n">
        <f aca="false">(C126-C125)/360</f>
        <v>0.252777777777778</v>
      </c>
      <c r="G126" s="57" t="n">
        <f aca="false">Curve!D119</f>
        <v>0.02252</v>
      </c>
      <c r="H126" s="64" t="n">
        <f aca="false">AF125</f>
        <v>0</v>
      </c>
      <c r="I126" s="64" t="n">
        <f aca="false">IF(D126,H126*Inputs!$G$22,0)</f>
        <v>0</v>
      </c>
      <c r="J126" s="32" t="n">
        <f aca="false">MAX(Inputs!$G$24-(A126-1),1)</f>
        <v>1</v>
      </c>
      <c r="K126" s="64" t="n">
        <f aca="false">IF(D126,MIN(H126-I126,IF(J126&gt;1,(H126-I126)*Inputs!$G$23/((1+Inputs!$G$23)^J126-1),H126-I126)),0)</f>
        <v>0</v>
      </c>
      <c r="L126" s="64" t="n">
        <f aca="false">IF(D126,(H126-I126-K126)*Inputs!$G$21,0)</f>
        <v>0</v>
      </c>
      <c r="M126" s="64" t="n">
        <f aca="false">IF(A126&gt;Inputs!$G$13,(1-Inputs!$G$12)*INDEX($I$11:$I$190,A126-Inputs!$G$13),0)</f>
        <v>0</v>
      </c>
      <c r="N126" s="64" t="n">
        <f aca="false">IF(D126,(H126-I126)*Inputs!$G$23,0)</f>
        <v>0</v>
      </c>
      <c r="O126" s="64" t="n">
        <f aca="false">AG125</f>
        <v>0</v>
      </c>
      <c r="P126" s="64" t="n">
        <f aca="false">AH125</f>
        <v>256983.980657201</v>
      </c>
      <c r="Q126" s="64" t="n">
        <f aca="false">IF(AND(D126,O126+P126&gt;0),Inputs!$C$25+Inputs!$C$26*H126/4,0)</f>
        <v>100000</v>
      </c>
      <c r="R126" s="64" t="n">
        <f aca="false">O126*IF(Inputs!$G$19="",G126+Inputs!$C$13,MAX(Inputs!$G$19,G126+Inputs!$C$13))*F126</f>
        <v>0</v>
      </c>
      <c r="S126" s="64" t="n">
        <f aca="false">P126*(G126+Inputs!$C$14)*F126</f>
        <v>1921.68151448835</v>
      </c>
      <c r="T126" s="64" t="n">
        <f aca="false">N126+M126-Q126-R126-S126</f>
        <v>-101921.681514488</v>
      </c>
      <c r="U126" s="64" t="n">
        <f aca="false">W125</f>
        <v>260422.420657149</v>
      </c>
      <c r="V126" s="64" t="n">
        <f aca="false">MIN(U126+I126,MAX(T126,0))</f>
        <v>0</v>
      </c>
      <c r="W126" s="64" t="n">
        <f aca="false">U126+I126-V126</f>
        <v>260422.420657149</v>
      </c>
      <c r="X126" s="64" t="n">
        <f aca="false">K126+L126+V126+IF(E126,H126-I126-K126-L126,0)</f>
        <v>0</v>
      </c>
      <c r="Y126" s="61" t="b">
        <f aca="false">AND(Inputs!$C$21=1,O126/Inputs!$C$10&lt;=Inputs!$C$22,Inputs!$G$14&lt;Inputs!$C$23,W126&lt;1)</f>
        <v>0</v>
      </c>
      <c r="Z126" s="61" t="b">
        <f aca="false">OR(AND(Inputs!$G$15=1,H126/Inputs!$C$17&lt;=Inputs!$C$24),AND(Inputs!$G$15=2,C126&gt;=Inputs!$G$16))</f>
        <v>0</v>
      </c>
      <c r="AA126" s="61" t="b">
        <f aca="false">OR(AA125,Z126)</f>
        <v>0</v>
      </c>
      <c r="AB126" s="61" t="b">
        <f aca="false">AND(Z126,NOT(AA125),D126,O126&gt;0)</f>
        <v>0</v>
      </c>
      <c r="AC126" s="63" t="n">
        <f aca="false">IF(AND(Y126,NOT(E126),O126+P126&gt;0),O126/(O126+P126),1)</f>
        <v>1</v>
      </c>
      <c r="AD126" s="64" t="n">
        <f aca="false">IF(AB126,O126,IF(D126,MIN(O126,IF(E126,AC126*X126+BF125,BE126*Inputs!$G$20)),0))</f>
        <v>0</v>
      </c>
      <c r="AE126" s="64" t="n">
        <f aca="false">IF(AB126,P126,IF(D126,MAX(MIN(P126,X126-MIN(O126,AC126*X126)),0),0))</f>
        <v>0</v>
      </c>
      <c r="AF126" s="64" t="n">
        <f aca="false">IF(OR(AB126,E126),0,MAX(H126-I126-K126-L126,0))</f>
        <v>0</v>
      </c>
      <c r="AG126" s="64" t="n">
        <f aca="false">IF(E126,0,O126-AD126)</f>
        <v>0</v>
      </c>
      <c r="AH126" s="64" t="n">
        <f aca="false">IF(OR(AB126,E126),0,P126-AE126)</f>
        <v>256983.980657201</v>
      </c>
      <c r="AI126" s="64" t="n">
        <f aca="false">IF(D126,R126+AD126,0)</f>
        <v>0</v>
      </c>
      <c r="AJ126" s="65" t="n">
        <f aca="false">(C126-Inputs!$G$6)/365</f>
        <v>28.9123287671233</v>
      </c>
      <c r="AK126" s="29" t="n">
        <f aca="false">AG126/Inputs!$C$10</f>
        <v>0</v>
      </c>
      <c r="AL126" s="5"/>
      <c r="AM126" s="66" t="n">
        <f aca="false">F126</f>
        <v>0.252777777777778</v>
      </c>
      <c r="AN126" s="5"/>
      <c r="AO126" s="5" t="n">
        <f aca="false">AO125+LN(1+($G126+AO$7)*$AM126)</f>
        <v>0.73403336343062</v>
      </c>
      <c r="AP126" s="5" t="n">
        <f aca="false">AP125+LN(1+($G126+AP$7)*$AM126)</f>
        <v>0.73694619176946</v>
      </c>
      <c r="AQ126" s="5" t="n">
        <f aca="false">AQ125+LN(1+($G126+AQ$7)*$AM126)</f>
        <v>0.8305098613129</v>
      </c>
      <c r="AR126" s="5" t="n">
        <f aca="false">AR125+LN(1+($G126+AR$7)*$AM126)</f>
        <v>0.833420263791691</v>
      </c>
      <c r="AS126" s="5" t="n">
        <f aca="false">AS125+LN(1+($G126+AS$7)*$AM126)</f>
        <v>0.831567793699171</v>
      </c>
      <c r="AT126" s="5" t="n">
        <f aca="false">AT125+LN(1+($G126+AT$7)*$AM126)</f>
        <v>0.834478169587932</v>
      </c>
      <c r="AU126" s="5" t="n">
        <f aca="false">AU125+LN(1+($G126+AU$7)*$AM126)</f>
        <v>0.831567567820543</v>
      </c>
      <c r="AV126" s="5" t="n">
        <f aca="false">AV125+LN(1+($G126+AV$7)*$AM126)</f>
        <v>0.834477943714981</v>
      </c>
      <c r="AW126" s="5" t="n">
        <f aca="false">AW125+LN(1+($G126+AW$7)*$AM126)</f>
        <v>0.831567567896297</v>
      </c>
      <c r="AX126" s="5" t="n">
        <f aca="false">AX125+LN(1+($G126+AX$7)*$AM126)</f>
        <v>0.834477943790737</v>
      </c>
      <c r="AY126" s="5" t="n">
        <f aca="false">AY125+LN(1+($G126+AY$7)*$AM126)</f>
        <v>0.831567567896282</v>
      </c>
      <c r="AZ126" s="5" t="n">
        <f aca="false">AZ125+LN(1+($G126+AZ$7)*$AM126)</f>
        <v>0.834477943790712</v>
      </c>
      <c r="BA126" s="5" t="n">
        <f aca="false">BA125+LN(1+($G126+BA$7)*$AM126)</f>
        <v>0.831567567896282</v>
      </c>
      <c r="BB126" s="5" t="n">
        <f aca="false">BB125+LN(1+($G126+BB$7)*$AM126)</f>
        <v>0.834477943790712</v>
      </c>
      <c r="BC126" s="5" t="n">
        <f aca="false">BC125+LN(1+($G126+BC$7)*$AM126)</f>
        <v>0.831567567896282</v>
      </c>
      <c r="BD126" s="5" t="n">
        <f aca="false">BD125+LN(1+($G126+BD$7)*$AM126)</f>
        <v>0.834477943790712</v>
      </c>
      <c r="BE126" s="5" t="n">
        <f aca="false">IF(AB126,O126,IF(D126,MIN(O126,AC126*X126+BF125),0))</f>
        <v>0</v>
      </c>
      <c r="BF126" s="5" t="n">
        <f aca="false">IF(OR(AB126,E126),0,BE126-AD126)</f>
        <v>0</v>
      </c>
      <c r="BG126" s="5" t="n">
        <f aca="false">BG125+LN(1+($G126+BG$7)*$AM126)</f>
        <v>0.802459785001445</v>
      </c>
      <c r="BH126" s="5"/>
      <c r="BI126" s="5" t="n">
        <f aca="false">BI125+LN(1+($G126+BI$7)*$AM126)</f>
        <v>0.86066803562196</v>
      </c>
      <c r="BJ126" s="5"/>
      <c r="BK126" s="62" t="n">
        <f aca="false">C126</f>
        <v>56842</v>
      </c>
      <c r="BL126" s="67" t="n">
        <f aca="false">AI126</f>
        <v>0</v>
      </c>
    </row>
    <row r="127" customFormat="false" ht="15" hidden="false" customHeight="true" outlineLevel="0" collapsed="false">
      <c r="A127" s="3" t="n">
        <v>117</v>
      </c>
      <c r="B127" s="38" t="n">
        <f aca="false">EDATE(Inputs!$C$8,3*(A127-1))</f>
        <v>56933</v>
      </c>
      <c r="C127" s="38" t="n">
        <f aca="false">WORKDAY(B127-1,1)</f>
        <v>56933</v>
      </c>
      <c r="D127" s="61" t="b">
        <f aca="false">C127&lt;=Inputs!$C$9</f>
        <v>1</v>
      </c>
      <c r="E127" s="61" t="b">
        <f aca="false">AND(D127,NOT(D128))</f>
        <v>0</v>
      </c>
      <c r="F127" s="63" t="n">
        <f aca="false">(C127-C126)/360</f>
        <v>0.252777777777778</v>
      </c>
      <c r="G127" s="57" t="n">
        <f aca="false">Curve!D120</f>
        <v>0.02252</v>
      </c>
      <c r="H127" s="64" t="n">
        <f aca="false">AF126</f>
        <v>0</v>
      </c>
      <c r="I127" s="64" t="n">
        <f aca="false">IF(D127,H127*Inputs!$G$22,0)</f>
        <v>0</v>
      </c>
      <c r="J127" s="32" t="n">
        <f aca="false">MAX(Inputs!$G$24-(A127-1),1)</f>
        <v>1</v>
      </c>
      <c r="K127" s="64" t="n">
        <f aca="false">IF(D127,MIN(H127-I127,IF(J127&gt;1,(H127-I127)*Inputs!$G$23/((1+Inputs!$G$23)^J127-1),H127-I127)),0)</f>
        <v>0</v>
      </c>
      <c r="L127" s="64" t="n">
        <f aca="false">IF(D127,(H127-I127-K127)*Inputs!$G$21,0)</f>
        <v>0</v>
      </c>
      <c r="M127" s="64" t="n">
        <f aca="false">IF(A127&gt;Inputs!$G$13,(1-Inputs!$G$12)*INDEX($I$11:$I$190,A127-Inputs!$G$13),0)</f>
        <v>0</v>
      </c>
      <c r="N127" s="64" t="n">
        <f aca="false">IF(D127,(H127-I127)*Inputs!$G$23,0)</f>
        <v>0</v>
      </c>
      <c r="O127" s="64" t="n">
        <f aca="false">AG126</f>
        <v>0</v>
      </c>
      <c r="P127" s="64" t="n">
        <f aca="false">AH126</f>
        <v>256983.980657201</v>
      </c>
      <c r="Q127" s="64" t="n">
        <f aca="false">IF(AND(D127,O127+P127&gt;0),Inputs!$C$25+Inputs!$C$26*H127/4,0)</f>
        <v>100000</v>
      </c>
      <c r="R127" s="64" t="n">
        <f aca="false">O127*IF(Inputs!$G$19="",G127+Inputs!$C$13,MAX(Inputs!$G$19,G127+Inputs!$C$13))*F127</f>
        <v>0</v>
      </c>
      <c r="S127" s="64" t="n">
        <f aca="false">P127*(G127+Inputs!$C$14)*F127</f>
        <v>1921.68151448835</v>
      </c>
      <c r="T127" s="64" t="n">
        <f aca="false">N127+M127-Q127-R127-S127</f>
        <v>-101921.681514488</v>
      </c>
      <c r="U127" s="64" t="n">
        <f aca="false">W126</f>
        <v>260422.420657149</v>
      </c>
      <c r="V127" s="64" t="n">
        <f aca="false">MIN(U127+I127,MAX(T127,0))</f>
        <v>0</v>
      </c>
      <c r="W127" s="64" t="n">
        <f aca="false">U127+I127-V127</f>
        <v>260422.420657149</v>
      </c>
      <c r="X127" s="64" t="n">
        <f aca="false">K127+L127+V127+IF(E127,H127-I127-K127-L127,0)</f>
        <v>0</v>
      </c>
      <c r="Y127" s="61" t="b">
        <f aca="false">AND(Inputs!$C$21=1,O127/Inputs!$C$10&lt;=Inputs!$C$22,Inputs!$G$14&lt;Inputs!$C$23,W127&lt;1)</f>
        <v>0</v>
      </c>
      <c r="Z127" s="61" t="b">
        <f aca="false">OR(AND(Inputs!$G$15=1,H127/Inputs!$C$17&lt;=Inputs!$C$24),AND(Inputs!$G$15=2,C127&gt;=Inputs!$G$16))</f>
        <v>0</v>
      </c>
      <c r="AA127" s="61" t="b">
        <f aca="false">OR(AA126,Z127)</f>
        <v>0</v>
      </c>
      <c r="AB127" s="61" t="b">
        <f aca="false">AND(Z127,NOT(AA126),D127,O127&gt;0)</f>
        <v>0</v>
      </c>
      <c r="AC127" s="63" t="n">
        <f aca="false">IF(AND(Y127,NOT(E127),O127+P127&gt;0),O127/(O127+P127),1)</f>
        <v>1</v>
      </c>
      <c r="AD127" s="64" t="n">
        <f aca="false">IF(AB127,O127,IF(D127,MIN(O127,IF(E127,AC127*X127+BF126,BE127*Inputs!$G$20)),0))</f>
        <v>0</v>
      </c>
      <c r="AE127" s="64" t="n">
        <f aca="false">IF(AB127,P127,IF(D127,MAX(MIN(P127,X127-MIN(O127,AC127*X127)),0),0))</f>
        <v>0</v>
      </c>
      <c r="AF127" s="64" t="n">
        <f aca="false">IF(OR(AB127,E127),0,MAX(H127-I127-K127-L127,0))</f>
        <v>0</v>
      </c>
      <c r="AG127" s="64" t="n">
        <f aca="false">IF(E127,0,O127-AD127)</f>
        <v>0</v>
      </c>
      <c r="AH127" s="64" t="n">
        <f aca="false">IF(OR(AB127,E127),0,P127-AE127)</f>
        <v>256983.980657201</v>
      </c>
      <c r="AI127" s="64" t="n">
        <f aca="false">IF(D127,R127+AD127,0)</f>
        <v>0</v>
      </c>
      <c r="AJ127" s="65" t="n">
        <f aca="false">(C127-Inputs!$G$6)/365</f>
        <v>29.1616438356164</v>
      </c>
      <c r="AK127" s="29" t="n">
        <f aca="false">AG127/Inputs!$C$10</f>
        <v>0</v>
      </c>
      <c r="AL127" s="5"/>
      <c r="AM127" s="66" t="n">
        <f aca="false">F127</f>
        <v>0.252777777777778</v>
      </c>
      <c r="AN127" s="5"/>
      <c r="AO127" s="5" t="n">
        <f aca="false">AO126+LN(1+($G127+AO$7)*$AM127)</f>
        <v>0.74036306630545</v>
      </c>
      <c r="AP127" s="5" t="n">
        <f aca="false">AP126+LN(1+($G127+AP$7)*$AM127)</f>
        <v>0.743301012611099</v>
      </c>
      <c r="AQ127" s="5" t="n">
        <f aca="false">AQ126+LN(1+($G127+AQ$7)*$AM127)</f>
        <v>0.837671502992583</v>
      </c>
      <c r="AR127" s="5" t="n">
        <f aca="false">AR126+LN(1+($G127+AR$7)*$AM127)</f>
        <v>0.840607002550522</v>
      </c>
      <c r="AS127" s="5" t="n">
        <f aca="false">AS126+LN(1+($G127+AS$7)*$AM127)</f>
        <v>0.838738558176374</v>
      </c>
      <c r="AT127" s="5" t="n">
        <f aca="false">AT126+LN(1+($G127+AT$7)*$AM127)</f>
        <v>0.841674030915333</v>
      </c>
      <c r="AU127" s="5" t="n">
        <f aca="false">AU126+LN(1+($G127+AU$7)*$AM127)</f>
        <v>0.838738330349942</v>
      </c>
      <c r="AV127" s="5" t="n">
        <f aca="false">AV126+LN(1+($G127+AV$7)*$AM127)</f>
        <v>0.841673803094626</v>
      </c>
      <c r="AW127" s="5" t="n">
        <f aca="false">AW126+LN(1+($G127+AW$7)*$AM127)</f>
        <v>0.838738330426349</v>
      </c>
      <c r="AX127" s="5" t="n">
        <f aca="false">AX126+LN(1+($G127+AX$7)*$AM127)</f>
        <v>0.841673803171036</v>
      </c>
      <c r="AY127" s="5" t="n">
        <f aca="false">AY126+LN(1+($G127+AY$7)*$AM127)</f>
        <v>0.838738330426334</v>
      </c>
      <c r="AZ127" s="5" t="n">
        <f aca="false">AZ126+LN(1+($G127+AZ$7)*$AM127)</f>
        <v>0.84167380317101</v>
      </c>
      <c r="BA127" s="5" t="n">
        <f aca="false">BA126+LN(1+($G127+BA$7)*$AM127)</f>
        <v>0.838738330426334</v>
      </c>
      <c r="BB127" s="5" t="n">
        <f aca="false">BB126+LN(1+($G127+BB$7)*$AM127)</f>
        <v>0.84167380317101</v>
      </c>
      <c r="BC127" s="5" t="n">
        <f aca="false">BC126+LN(1+($G127+BC$7)*$AM127)</f>
        <v>0.838738330426334</v>
      </c>
      <c r="BD127" s="5" t="n">
        <f aca="false">BD126+LN(1+($G127+BD$7)*$AM127)</f>
        <v>0.84167380317101</v>
      </c>
      <c r="BE127" s="5" t="n">
        <f aca="false">IF(AB127,O127,IF(D127,MIN(O127,AC127*X127+BF126),0))</f>
        <v>0</v>
      </c>
      <c r="BF127" s="5" t="n">
        <f aca="false">IF(OR(AB127,E127),0,BE127-AD127)</f>
        <v>0</v>
      </c>
      <c r="BG127" s="5" t="n">
        <f aca="false">BG126+LN(1+($G127+BG$7)*$AM127)</f>
        <v>0.809379544381092</v>
      </c>
      <c r="BH127" s="5"/>
      <c r="BI127" s="5" t="n">
        <f aca="false">BI126+LN(1+($G127+BI$7)*$AM127)</f>
        <v>0.868089738315646</v>
      </c>
      <c r="BJ127" s="5"/>
      <c r="BK127" s="62" t="n">
        <f aca="false">C127</f>
        <v>56933</v>
      </c>
      <c r="BL127" s="67" t="n">
        <f aca="false">AI127</f>
        <v>0</v>
      </c>
    </row>
    <row r="128" customFormat="false" ht="15" hidden="false" customHeight="true" outlineLevel="0" collapsed="false">
      <c r="A128" s="3" t="n">
        <v>118</v>
      </c>
      <c r="B128" s="38" t="n">
        <f aca="false">EDATE(Inputs!$C$8,3*(A128-1))</f>
        <v>57025</v>
      </c>
      <c r="C128" s="38" t="n">
        <f aca="false">WORKDAY(B128-1,1)</f>
        <v>57025</v>
      </c>
      <c r="D128" s="61" t="b">
        <f aca="false">C128&lt;=Inputs!$C$9</f>
        <v>1</v>
      </c>
      <c r="E128" s="61" t="b">
        <f aca="false">AND(D128,NOT(D129))</f>
        <v>0</v>
      </c>
      <c r="F128" s="63" t="n">
        <f aca="false">(C128-C127)/360</f>
        <v>0.255555555555556</v>
      </c>
      <c r="G128" s="57" t="n">
        <f aca="false">Curve!D121</f>
        <v>0.02252</v>
      </c>
      <c r="H128" s="64" t="n">
        <f aca="false">AF127</f>
        <v>0</v>
      </c>
      <c r="I128" s="64" t="n">
        <f aca="false">IF(D128,H128*Inputs!$G$22,0)</f>
        <v>0</v>
      </c>
      <c r="J128" s="32" t="n">
        <f aca="false">MAX(Inputs!$G$24-(A128-1),1)</f>
        <v>1</v>
      </c>
      <c r="K128" s="64" t="n">
        <f aca="false">IF(D128,MIN(H128-I128,IF(J128&gt;1,(H128-I128)*Inputs!$G$23/((1+Inputs!$G$23)^J128-1),H128-I128)),0)</f>
        <v>0</v>
      </c>
      <c r="L128" s="64" t="n">
        <f aca="false">IF(D128,(H128-I128-K128)*Inputs!$G$21,0)</f>
        <v>0</v>
      </c>
      <c r="M128" s="64" t="n">
        <f aca="false">IF(A128&gt;Inputs!$G$13,(1-Inputs!$G$12)*INDEX($I$11:$I$190,A128-Inputs!$G$13),0)</f>
        <v>0</v>
      </c>
      <c r="N128" s="64" t="n">
        <f aca="false">IF(D128,(H128-I128)*Inputs!$G$23,0)</f>
        <v>0</v>
      </c>
      <c r="O128" s="64" t="n">
        <f aca="false">AG127</f>
        <v>0</v>
      </c>
      <c r="P128" s="64" t="n">
        <f aca="false">AH127</f>
        <v>256983.980657201</v>
      </c>
      <c r="Q128" s="64" t="n">
        <f aca="false">IF(AND(D128,O128+P128&gt;0),Inputs!$C$25+Inputs!$C$26*H128/4,0)</f>
        <v>100000</v>
      </c>
      <c r="R128" s="64" t="n">
        <f aca="false">O128*IF(Inputs!$G$19="",G128+Inputs!$C$13,MAX(Inputs!$G$19,G128+Inputs!$C$13))*F128</f>
        <v>0</v>
      </c>
      <c r="S128" s="64" t="n">
        <f aca="false">P128*(G128+Inputs!$C$14)*F128</f>
        <v>1942.79889376844</v>
      </c>
      <c r="T128" s="64" t="n">
        <f aca="false">N128+M128-Q128-R128-S128</f>
        <v>-101942.798893768</v>
      </c>
      <c r="U128" s="64" t="n">
        <f aca="false">W127</f>
        <v>260422.420657149</v>
      </c>
      <c r="V128" s="64" t="n">
        <f aca="false">MIN(U128+I128,MAX(T128,0))</f>
        <v>0</v>
      </c>
      <c r="W128" s="64" t="n">
        <f aca="false">U128+I128-V128</f>
        <v>260422.420657149</v>
      </c>
      <c r="X128" s="64" t="n">
        <f aca="false">K128+L128+V128+IF(E128,H128-I128-K128-L128,0)</f>
        <v>0</v>
      </c>
      <c r="Y128" s="61" t="b">
        <f aca="false">AND(Inputs!$C$21=1,O128/Inputs!$C$10&lt;=Inputs!$C$22,Inputs!$G$14&lt;Inputs!$C$23,W128&lt;1)</f>
        <v>0</v>
      </c>
      <c r="Z128" s="61" t="b">
        <f aca="false">OR(AND(Inputs!$G$15=1,H128/Inputs!$C$17&lt;=Inputs!$C$24),AND(Inputs!$G$15=2,C128&gt;=Inputs!$G$16))</f>
        <v>0</v>
      </c>
      <c r="AA128" s="61" t="b">
        <f aca="false">OR(AA127,Z128)</f>
        <v>0</v>
      </c>
      <c r="AB128" s="61" t="b">
        <f aca="false">AND(Z128,NOT(AA127),D128,O128&gt;0)</f>
        <v>0</v>
      </c>
      <c r="AC128" s="63" t="n">
        <f aca="false">IF(AND(Y128,NOT(E128),O128+P128&gt;0),O128/(O128+P128),1)</f>
        <v>1</v>
      </c>
      <c r="AD128" s="64" t="n">
        <f aca="false">IF(AB128,O128,IF(D128,MIN(O128,IF(E128,AC128*X128+BF127,BE128*Inputs!$G$20)),0))</f>
        <v>0</v>
      </c>
      <c r="AE128" s="64" t="n">
        <f aca="false">IF(AB128,P128,IF(D128,MAX(MIN(P128,X128-MIN(O128,AC128*X128)),0),0))</f>
        <v>0</v>
      </c>
      <c r="AF128" s="64" t="n">
        <f aca="false">IF(OR(AB128,E128),0,MAX(H128-I128-K128-L128,0))</f>
        <v>0</v>
      </c>
      <c r="AG128" s="64" t="n">
        <f aca="false">IF(E128,0,O128-AD128)</f>
        <v>0</v>
      </c>
      <c r="AH128" s="64" t="n">
        <f aca="false">IF(OR(AB128,E128),0,P128-AE128)</f>
        <v>256983.980657201</v>
      </c>
      <c r="AI128" s="64" t="n">
        <f aca="false">IF(D128,R128+AD128,0)</f>
        <v>0</v>
      </c>
      <c r="AJ128" s="65" t="n">
        <f aca="false">(C128-Inputs!$G$6)/365</f>
        <v>29.413698630137</v>
      </c>
      <c r="AK128" s="29" t="n">
        <f aca="false">AG128/Inputs!$C$10</f>
        <v>0</v>
      </c>
      <c r="AL128" s="5"/>
      <c r="AM128" s="66" t="n">
        <f aca="false">F128</f>
        <v>0.255555555555556</v>
      </c>
      <c r="AN128" s="5"/>
      <c r="AO128" s="5" t="n">
        <f aca="false">AO127+LN(1+($G128+AO$7)*$AM128)</f>
        <v>0.746762104276608</v>
      </c>
      <c r="AP128" s="5" t="n">
        <f aca="false">AP127+LN(1+($G128+AP$7)*$AM128)</f>
        <v>0.749725442806562</v>
      </c>
      <c r="AQ128" s="5" t="n">
        <f aca="false">AQ127+LN(1+($G128+AQ$7)*$AM128)</f>
        <v>0.844911559820064</v>
      </c>
      <c r="AR128" s="5" t="n">
        <f aca="false">AR127+LN(1+($G128+AR$7)*$AM128)</f>
        <v>0.847872430256218</v>
      </c>
      <c r="AS128" s="5" t="n">
        <f aca="false">AS127+LN(1+($G128+AS$7)*$AM128)</f>
        <v>0.84598783732824</v>
      </c>
      <c r="AT128" s="5" t="n">
        <f aca="false">AT127+LN(1+($G128+AT$7)*$AM128)</f>
        <v>0.84894868071144</v>
      </c>
      <c r="AU128" s="5" t="n">
        <f aca="false">AU127+LN(1+($G128+AU$7)*$AM128)</f>
        <v>0.845987607532755</v>
      </c>
      <c r="AV128" s="5" t="n">
        <f aca="false">AV127+LN(1+($G128+AV$7)*$AM128)</f>
        <v>0.848948450921729</v>
      </c>
      <c r="AW128" s="5" t="n">
        <f aca="false">AW127+LN(1+($G128+AW$7)*$AM128)</f>
        <v>0.845987607609822</v>
      </c>
      <c r="AX128" s="5" t="n">
        <f aca="false">AX127+LN(1+($G128+AX$7)*$AM128)</f>
        <v>0.8489484509988</v>
      </c>
      <c r="AY128" s="5" t="n">
        <f aca="false">AY127+LN(1+($G128+AY$7)*$AM128)</f>
        <v>0.845987607609807</v>
      </c>
      <c r="AZ128" s="5" t="n">
        <f aca="false">AZ127+LN(1+($G128+AZ$7)*$AM128)</f>
        <v>0.848948450998773</v>
      </c>
      <c r="BA128" s="5" t="n">
        <f aca="false">BA127+LN(1+($G128+BA$7)*$AM128)</f>
        <v>0.845987607609807</v>
      </c>
      <c r="BB128" s="5" t="n">
        <f aca="false">BB127+LN(1+($G128+BB$7)*$AM128)</f>
        <v>0.848948450998773</v>
      </c>
      <c r="BC128" s="5" t="n">
        <f aca="false">BC127+LN(1+($G128+BC$7)*$AM128)</f>
        <v>0.845987607609807</v>
      </c>
      <c r="BD128" s="5" t="n">
        <f aca="false">BD127+LN(1+($G128+BD$7)*$AM128)</f>
        <v>0.848948450998773</v>
      </c>
      <c r="BE128" s="5" t="n">
        <f aca="false">IF(AB128,O128,IF(D128,MIN(O128,AC128*X128+BF127),0))</f>
        <v>0</v>
      </c>
      <c r="BF128" s="5" t="n">
        <f aca="false">IF(OR(AB128,E128),0,BE128-AD128)</f>
        <v>0</v>
      </c>
      <c r="BG128" s="5" t="n">
        <f aca="false">BG127+LN(1+($G128+BG$7)*$AM128)</f>
        <v>0.816375079713542</v>
      </c>
      <c r="BH128" s="5"/>
      <c r="BI128" s="5" t="n">
        <f aca="false">BI127+LN(1+($G128+BI$7)*$AM128)</f>
        <v>0.875592692981546</v>
      </c>
      <c r="BJ128" s="5"/>
      <c r="BK128" s="62" t="n">
        <f aca="false">C128</f>
        <v>57025</v>
      </c>
      <c r="BL128" s="67" t="n">
        <f aca="false">AI128</f>
        <v>0</v>
      </c>
    </row>
    <row r="129" customFormat="false" ht="15" hidden="false" customHeight="true" outlineLevel="0" collapsed="false">
      <c r="A129" s="3" t="n">
        <v>119</v>
      </c>
      <c r="B129" s="38" t="n">
        <f aca="false">EDATE(Inputs!$C$8,3*(A129-1))</f>
        <v>57115</v>
      </c>
      <c r="C129" s="38" t="n">
        <f aca="false">WORKDAY(B129-1,1)</f>
        <v>57115</v>
      </c>
      <c r="D129" s="61" t="b">
        <f aca="false">C129&lt;=Inputs!$C$9</f>
        <v>1</v>
      </c>
      <c r="E129" s="61" t="b">
        <f aca="false">AND(D129,NOT(D130))</f>
        <v>0</v>
      </c>
      <c r="F129" s="63" t="n">
        <f aca="false">(C129-C128)/360</f>
        <v>0.25</v>
      </c>
      <c r="G129" s="57" t="n">
        <f aca="false">Curve!D122</f>
        <v>0.02252</v>
      </c>
      <c r="H129" s="64" t="n">
        <f aca="false">AF128</f>
        <v>0</v>
      </c>
      <c r="I129" s="64" t="n">
        <f aca="false">IF(D129,H129*Inputs!$G$22,0)</f>
        <v>0</v>
      </c>
      <c r="J129" s="32" t="n">
        <f aca="false">MAX(Inputs!$G$24-(A129-1),1)</f>
        <v>1</v>
      </c>
      <c r="K129" s="64" t="n">
        <f aca="false">IF(D129,MIN(H129-I129,IF(J129&gt;1,(H129-I129)*Inputs!$G$23/((1+Inputs!$G$23)^J129-1),H129-I129)),0)</f>
        <v>0</v>
      </c>
      <c r="L129" s="64" t="n">
        <f aca="false">IF(D129,(H129-I129-K129)*Inputs!$G$21,0)</f>
        <v>0</v>
      </c>
      <c r="M129" s="64" t="n">
        <f aca="false">IF(A129&gt;Inputs!$G$13,(1-Inputs!$G$12)*INDEX($I$11:$I$190,A129-Inputs!$G$13),0)</f>
        <v>0</v>
      </c>
      <c r="N129" s="64" t="n">
        <f aca="false">IF(D129,(H129-I129)*Inputs!$G$23,0)</f>
        <v>0</v>
      </c>
      <c r="O129" s="64" t="n">
        <f aca="false">AG128</f>
        <v>0</v>
      </c>
      <c r="P129" s="64" t="n">
        <f aca="false">AH128</f>
        <v>256983.980657201</v>
      </c>
      <c r="Q129" s="64" t="n">
        <f aca="false">IF(AND(D129,O129+P129&gt;0),Inputs!$C$25+Inputs!$C$26*H129/4,0)</f>
        <v>100000</v>
      </c>
      <c r="R129" s="64" t="n">
        <f aca="false">O129*IF(Inputs!$G$19="",G129+Inputs!$C$13,MAX(Inputs!$G$19,G129+Inputs!$C$13))*F129</f>
        <v>0</v>
      </c>
      <c r="S129" s="64" t="n">
        <f aca="false">P129*(G129+Inputs!$C$14)*F129</f>
        <v>1900.56413520826</v>
      </c>
      <c r="T129" s="64" t="n">
        <f aca="false">N129+M129-Q129-R129-S129</f>
        <v>-101900.564135208</v>
      </c>
      <c r="U129" s="64" t="n">
        <f aca="false">W128</f>
        <v>260422.420657149</v>
      </c>
      <c r="V129" s="64" t="n">
        <f aca="false">MIN(U129+I129,MAX(T129,0))</f>
        <v>0</v>
      </c>
      <c r="W129" s="64" t="n">
        <f aca="false">U129+I129-V129</f>
        <v>260422.420657149</v>
      </c>
      <c r="X129" s="64" t="n">
        <f aca="false">K129+L129+V129+IF(E129,H129-I129-K129-L129,0)</f>
        <v>0</v>
      </c>
      <c r="Y129" s="61" t="b">
        <f aca="false">AND(Inputs!$C$21=1,O129/Inputs!$C$10&lt;=Inputs!$C$22,Inputs!$G$14&lt;Inputs!$C$23,W129&lt;1)</f>
        <v>0</v>
      </c>
      <c r="Z129" s="61" t="b">
        <f aca="false">OR(AND(Inputs!$G$15=1,H129/Inputs!$C$17&lt;=Inputs!$C$24),AND(Inputs!$G$15=2,C129&gt;=Inputs!$G$16))</f>
        <v>0</v>
      </c>
      <c r="AA129" s="61" t="b">
        <f aca="false">OR(AA128,Z129)</f>
        <v>0</v>
      </c>
      <c r="AB129" s="61" t="b">
        <f aca="false">AND(Z129,NOT(AA128),D129,O129&gt;0)</f>
        <v>0</v>
      </c>
      <c r="AC129" s="63" t="n">
        <f aca="false">IF(AND(Y129,NOT(E129),O129+P129&gt;0),O129/(O129+P129),1)</f>
        <v>1</v>
      </c>
      <c r="AD129" s="64" t="n">
        <f aca="false">IF(AB129,O129,IF(D129,MIN(O129,IF(E129,AC129*X129+BF128,BE129*Inputs!$G$20)),0))</f>
        <v>0</v>
      </c>
      <c r="AE129" s="64" t="n">
        <f aca="false">IF(AB129,P129,IF(D129,MAX(MIN(P129,X129-MIN(O129,AC129*X129)),0),0))</f>
        <v>0</v>
      </c>
      <c r="AF129" s="64" t="n">
        <f aca="false">IF(OR(AB129,E129),0,MAX(H129-I129-K129-L129,0))</f>
        <v>0</v>
      </c>
      <c r="AG129" s="64" t="n">
        <f aca="false">IF(E129,0,O129-AD129)</f>
        <v>0</v>
      </c>
      <c r="AH129" s="64" t="n">
        <f aca="false">IF(OR(AB129,E129),0,P129-AE129)</f>
        <v>256983.980657201</v>
      </c>
      <c r="AI129" s="64" t="n">
        <f aca="false">IF(D129,R129+AD129,0)</f>
        <v>0</v>
      </c>
      <c r="AJ129" s="65" t="n">
        <f aca="false">(C129-Inputs!$G$6)/365</f>
        <v>29.6602739726027</v>
      </c>
      <c r="AK129" s="29" t="n">
        <f aca="false">AG129/Inputs!$C$10</f>
        <v>0</v>
      </c>
      <c r="AL129" s="5"/>
      <c r="AM129" s="66" t="n">
        <f aca="false">F129</f>
        <v>0.25</v>
      </c>
      <c r="AN129" s="5"/>
      <c r="AO129" s="5" t="n">
        <f aca="false">AO128+LN(1+($G129+AO$7)*$AM129)</f>
        <v>0.753022467247422</v>
      </c>
      <c r="AP129" s="5" t="n">
        <f aca="false">AP128+LN(1+($G129+AP$7)*$AM129)</f>
        <v>0.756010649448576</v>
      </c>
      <c r="AQ129" s="5" t="n">
        <f aca="false">AQ128+LN(1+($G129+AQ$7)*$AM129)</f>
        <v>0.851994780202531</v>
      </c>
      <c r="AR129" s="5" t="n">
        <f aca="false">AR128+LN(1+($G129+AR$7)*$AM129)</f>
        <v>0.854980473875748</v>
      </c>
      <c r="AS129" s="5" t="n">
        <f aca="false">AS128+LN(1+($G129+AS$7)*$AM129)</f>
        <v>0.853080080965742</v>
      </c>
      <c r="AT129" s="5" t="n">
        <f aca="false">AT128+LN(1+($G129+AT$7)*$AM129)</f>
        <v>0.856065747362023</v>
      </c>
      <c r="AU129" s="5" t="n">
        <f aca="false">AU128+LN(1+($G129+AU$7)*$AM129)</f>
        <v>0.853079849243706</v>
      </c>
      <c r="AV129" s="5" t="n">
        <f aca="false">AV128+LN(1+($G129+AV$7)*$AM129)</f>
        <v>0.856065515645809</v>
      </c>
      <c r="AW129" s="5" t="n">
        <f aca="false">AW128+LN(1+($G129+AW$7)*$AM129)</f>
        <v>0.853079849321419</v>
      </c>
      <c r="AX129" s="5" t="n">
        <f aca="false">AX128+LN(1+($G129+AX$7)*$AM129)</f>
        <v>0.856065515723525</v>
      </c>
      <c r="AY129" s="5" t="n">
        <f aca="false">AY128+LN(1+($G129+AY$7)*$AM129)</f>
        <v>0.853079849321404</v>
      </c>
      <c r="AZ129" s="5" t="n">
        <f aca="false">AZ128+LN(1+($G129+AZ$7)*$AM129)</f>
        <v>0.856065515723499</v>
      </c>
      <c r="BA129" s="5" t="n">
        <f aca="false">BA128+LN(1+($G129+BA$7)*$AM129)</f>
        <v>0.853079849321404</v>
      </c>
      <c r="BB129" s="5" t="n">
        <f aca="false">BB128+LN(1+($G129+BB$7)*$AM129)</f>
        <v>0.856065515723499</v>
      </c>
      <c r="BC129" s="5" t="n">
        <f aca="false">BC128+LN(1+($G129+BC$7)*$AM129)</f>
        <v>0.853079849321404</v>
      </c>
      <c r="BD129" s="5" t="n">
        <f aca="false">BD128+LN(1+($G129+BD$7)*$AM129)</f>
        <v>0.856065515723499</v>
      </c>
      <c r="BE129" s="5" t="n">
        <f aca="false">IF(AB129,O129,IF(D129,MIN(O129,AC129*X129+BF128),0))</f>
        <v>0</v>
      </c>
      <c r="BF129" s="5" t="n">
        <f aca="false">IF(OR(AB129,E129),0,BE129-AD129)</f>
        <v>0</v>
      </c>
      <c r="BG129" s="5" t="n">
        <f aca="false">BG128+LN(1+($G129+BG$7)*$AM129)</f>
        <v>0.823219057397955</v>
      </c>
      <c r="BH129" s="5"/>
      <c r="BI129" s="5" t="n">
        <f aca="false">BI128+LN(1+($G129+BI$7)*$AM129)</f>
        <v>0.882933137100598</v>
      </c>
      <c r="BJ129" s="5"/>
      <c r="BK129" s="62" t="n">
        <f aca="false">C129</f>
        <v>57115</v>
      </c>
      <c r="BL129" s="67" t="n">
        <f aca="false">AI129</f>
        <v>0</v>
      </c>
    </row>
    <row r="130" customFormat="false" ht="15" hidden="false" customHeight="true" outlineLevel="0" collapsed="false">
      <c r="A130" s="3" t="n">
        <v>120</v>
      </c>
      <c r="B130" s="38" t="n">
        <f aca="false">EDATE(Inputs!$C$8,3*(A130-1))</f>
        <v>57207</v>
      </c>
      <c r="C130" s="38" t="n">
        <f aca="false">WORKDAY(B130-1,1)</f>
        <v>57207</v>
      </c>
      <c r="D130" s="61" t="b">
        <f aca="false">C130&lt;=Inputs!$C$9</f>
        <v>1</v>
      </c>
      <c r="E130" s="61" t="b">
        <f aca="false">AND(D130,NOT(D131))</f>
        <v>0</v>
      </c>
      <c r="F130" s="63" t="n">
        <f aca="false">(C130-C129)/360</f>
        <v>0.255555555555556</v>
      </c>
      <c r="G130" s="57" t="n">
        <f aca="false">Curve!D123</f>
        <v>0.02252</v>
      </c>
      <c r="H130" s="64" t="n">
        <f aca="false">AF129</f>
        <v>0</v>
      </c>
      <c r="I130" s="64" t="n">
        <f aca="false">IF(D130,H130*Inputs!$G$22,0)</f>
        <v>0</v>
      </c>
      <c r="J130" s="32" t="n">
        <f aca="false">MAX(Inputs!$G$24-(A130-1),1)</f>
        <v>1</v>
      </c>
      <c r="K130" s="64" t="n">
        <f aca="false">IF(D130,MIN(H130-I130,IF(J130&gt;1,(H130-I130)*Inputs!$G$23/((1+Inputs!$G$23)^J130-1),H130-I130)),0)</f>
        <v>0</v>
      </c>
      <c r="L130" s="64" t="n">
        <f aca="false">IF(D130,(H130-I130-K130)*Inputs!$G$21,0)</f>
        <v>0</v>
      </c>
      <c r="M130" s="64" t="n">
        <f aca="false">IF(A130&gt;Inputs!$G$13,(1-Inputs!$G$12)*INDEX($I$11:$I$190,A130-Inputs!$G$13),0)</f>
        <v>0</v>
      </c>
      <c r="N130" s="64" t="n">
        <f aca="false">IF(D130,(H130-I130)*Inputs!$G$23,0)</f>
        <v>0</v>
      </c>
      <c r="O130" s="64" t="n">
        <f aca="false">AG129</f>
        <v>0</v>
      </c>
      <c r="P130" s="64" t="n">
        <f aca="false">AH129</f>
        <v>256983.980657201</v>
      </c>
      <c r="Q130" s="64" t="n">
        <f aca="false">IF(AND(D130,O130+P130&gt;0),Inputs!$C$25+Inputs!$C$26*H130/4,0)</f>
        <v>100000</v>
      </c>
      <c r="R130" s="64" t="n">
        <f aca="false">O130*IF(Inputs!$G$19="",G130+Inputs!$C$13,MAX(Inputs!$G$19,G130+Inputs!$C$13))*F130</f>
        <v>0</v>
      </c>
      <c r="S130" s="64" t="n">
        <f aca="false">P130*(G130+Inputs!$C$14)*F130</f>
        <v>1942.79889376844</v>
      </c>
      <c r="T130" s="64" t="n">
        <f aca="false">N130+M130-Q130-R130-S130</f>
        <v>-101942.798893768</v>
      </c>
      <c r="U130" s="64" t="n">
        <f aca="false">W129</f>
        <v>260422.420657149</v>
      </c>
      <c r="V130" s="64" t="n">
        <f aca="false">MIN(U130+I130,MAX(T130,0))</f>
        <v>0</v>
      </c>
      <c r="W130" s="64" t="n">
        <f aca="false">U130+I130-V130</f>
        <v>260422.420657149</v>
      </c>
      <c r="X130" s="64" t="n">
        <f aca="false">K130+L130+V130+IF(E130,H130-I130-K130-L130,0)</f>
        <v>0</v>
      </c>
      <c r="Y130" s="61" t="b">
        <f aca="false">AND(Inputs!$C$21=1,O130/Inputs!$C$10&lt;=Inputs!$C$22,Inputs!$G$14&lt;Inputs!$C$23,W130&lt;1)</f>
        <v>0</v>
      </c>
      <c r="Z130" s="61" t="b">
        <f aca="false">OR(AND(Inputs!$G$15=1,H130/Inputs!$C$17&lt;=Inputs!$C$24),AND(Inputs!$G$15=2,C130&gt;=Inputs!$G$16))</f>
        <v>0</v>
      </c>
      <c r="AA130" s="61" t="b">
        <f aca="false">OR(AA129,Z130)</f>
        <v>0</v>
      </c>
      <c r="AB130" s="61" t="b">
        <f aca="false">AND(Z130,NOT(AA129),D130,O130&gt;0)</f>
        <v>0</v>
      </c>
      <c r="AC130" s="63" t="n">
        <f aca="false">IF(AND(Y130,NOT(E130),O130+P130&gt;0),O130/(O130+P130),1)</f>
        <v>1</v>
      </c>
      <c r="AD130" s="64" t="n">
        <f aca="false">IF(AB130,O130,IF(D130,MIN(O130,IF(E130,AC130*X130+BF129,BE130*Inputs!$G$20)),0))</f>
        <v>0</v>
      </c>
      <c r="AE130" s="64" t="n">
        <f aca="false">IF(AB130,P130,IF(D130,MAX(MIN(P130,X130-MIN(O130,AC130*X130)),0),0))</f>
        <v>0</v>
      </c>
      <c r="AF130" s="64" t="n">
        <f aca="false">IF(OR(AB130,E130),0,MAX(H130-I130-K130-L130,0))</f>
        <v>0</v>
      </c>
      <c r="AG130" s="64" t="n">
        <f aca="false">IF(E130,0,O130-AD130)</f>
        <v>0</v>
      </c>
      <c r="AH130" s="64" t="n">
        <f aca="false">IF(OR(AB130,E130),0,P130-AE130)</f>
        <v>256983.980657201</v>
      </c>
      <c r="AI130" s="64" t="n">
        <f aca="false">IF(D130,R130+AD130,0)</f>
        <v>0</v>
      </c>
      <c r="AJ130" s="65" t="n">
        <f aca="false">(C130-Inputs!$G$6)/365</f>
        <v>29.9123287671233</v>
      </c>
      <c r="AK130" s="29" t="n">
        <f aca="false">AG130/Inputs!$C$10</f>
        <v>0</v>
      </c>
      <c r="AL130" s="5"/>
      <c r="AM130" s="66" t="n">
        <f aca="false">F130</f>
        <v>0.255555555555556</v>
      </c>
      <c r="AN130" s="5"/>
      <c r="AO130" s="5" t="n">
        <f aca="false">AO129+LN(1+($G130+AO$7)*$AM130)</f>
        <v>0.759421505218579</v>
      </c>
      <c r="AP130" s="5" t="n">
        <f aca="false">AP129+LN(1+($G130+AP$7)*$AM130)</f>
        <v>0.76243507964404</v>
      </c>
      <c r="AQ130" s="5" t="n">
        <f aca="false">AQ129+LN(1+($G130+AQ$7)*$AM130)</f>
        <v>0.859234837030011</v>
      </c>
      <c r="AR130" s="5" t="n">
        <f aca="false">AR129+LN(1+($G130+AR$7)*$AM130)</f>
        <v>0.862245901581444</v>
      </c>
      <c r="AS130" s="5" t="n">
        <f aca="false">AS129+LN(1+($G130+AS$7)*$AM130)</f>
        <v>0.860329360117609</v>
      </c>
      <c r="AT130" s="5" t="n">
        <f aca="false">AT129+LN(1+($G130+AT$7)*$AM130)</f>
        <v>0.863340397158129</v>
      </c>
      <c r="AU130" s="5" t="n">
        <f aca="false">AU129+LN(1+($G130+AU$7)*$AM130)</f>
        <v>0.860329126426518</v>
      </c>
      <c r="AV130" s="5" t="n">
        <f aca="false">AV129+LN(1+($G130+AV$7)*$AM130)</f>
        <v>0.863340163472912</v>
      </c>
      <c r="AW130" s="5" t="n">
        <f aca="false">AW129+LN(1+($G130+AW$7)*$AM130)</f>
        <v>0.860329126504892</v>
      </c>
      <c r="AX130" s="5" t="n">
        <f aca="false">AX129+LN(1+($G130+AX$7)*$AM130)</f>
        <v>0.863340163551289</v>
      </c>
      <c r="AY130" s="5" t="n">
        <f aca="false">AY129+LN(1+($G130+AY$7)*$AM130)</f>
        <v>0.860329126504876</v>
      </c>
      <c r="AZ130" s="5" t="n">
        <f aca="false">AZ129+LN(1+($G130+AZ$7)*$AM130)</f>
        <v>0.863340163551262</v>
      </c>
      <c r="BA130" s="5" t="n">
        <f aca="false">BA129+LN(1+($G130+BA$7)*$AM130)</f>
        <v>0.860329126504876</v>
      </c>
      <c r="BB130" s="5" t="n">
        <f aca="false">BB129+LN(1+($G130+BB$7)*$AM130)</f>
        <v>0.863340163551262</v>
      </c>
      <c r="BC130" s="5" t="n">
        <f aca="false">BC129+LN(1+($G130+BC$7)*$AM130)</f>
        <v>0.860329126504876</v>
      </c>
      <c r="BD130" s="5" t="n">
        <f aca="false">BD129+LN(1+($G130+BD$7)*$AM130)</f>
        <v>0.863340163551262</v>
      </c>
      <c r="BE130" s="5" t="n">
        <f aca="false">IF(AB130,O130,IF(D130,MIN(O130,AC130*X130+BF129),0))</f>
        <v>0</v>
      </c>
      <c r="BF130" s="5" t="n">
        <f aca="false">IF(OR(AB130,E130),0,BE130-AD130)</f>
        <v>0</v>
      </c>
      <c r="BG130" s="5" t="n">
        <f aca="false">BG129+LN(1+($G130+BG$7)*$AM130)</f>
        <v>0.830214592730406</v>
      </c>
      <c r="BH130" s="5"/>
      <c r="BI130" s="5" t="n">
        <f aca="false">BI129+LN(1+($G130+BI$7)*$AM130)</f>
        <v>0.890436091766498</v>
      </c>
      <c r="BJ130" s="5"/>
      <c r="BK130" s="62" t="n">
        <f aca="false">C130</f>
        <v>57207</v>
      </c>
      <c r="BL130" s="67" t="n">
        <f aca="false">AI130</f>
        <v>0</v>
      </c>
    </row>
    <row r="131" customFormat="false" ht="15" hidden="false" customHeight="true" outlineLevel="0" collapsed="false">
      <c r="A131" s="3" t="n">
        <v>121</v>
      </c>
      <c r="B131" s="38" t="n">
        <f aca="false">EDATE(Inputs!$C$8,3*(A131-1))</f>
        <v>57299</v>
      </c>
      <c r="C131" s="38" t="n">
        <f aca="false">WORKDAY(B131-1,1)</f>
        <v>57299</v>
      </c>
      <c r="D131" s="61" t="b">
        <f aca="false">C131&lt;=Inputs!$C$9</f>
        <v>1</v>
      </c>
      <c r="E131" s="61" t="b">
        <f aca="false">AND(D131,NOT(D132))</f>
        <v>0</v>
      </c>
      <c r="F131" s="63" t="n">
        <f aca="false">(C131-C130)/360</f>
        <v>0.255555555555556</v>
      </c>
      <c r="G131" s="57" t="n">
        <f aca="false">Curve!D124</f>
        <v>0.02252</v>
      </c>
      <c r="H131" s="64" t="n">
        <f aca="false">AF130</f>
        <v>0</v>
      </c>
      <c r="I131" s="64" t="n">
        <f aca="false">IF(D131,H131*Inputs!$G$22,0)</f>
        <v>0</v>
      </c>
      <c r="J131" s="32" t="n">
        <f aca="false">MAX(Inputs!$G$24-(A131-1),1)</f>
        <v>1</v>
      </c>
      <c r="K131" s="64" t="n">
        <f aca="false">IF(D131,MIN(H131-I131,IF(J131&gt;1,(H131-I131)*Inputs!$G$23/((1+Inputs!$G$23)^J131-1),H131-I131)),0)</f>
        <v>0</v>
      </c>
      <c r="L131" s="64" t="n">
        <f aca="false">IF(D131,(H131-I131-K131)*Inputs!$G$21,0)</f>
        <v>0</v>
      </c>
      <c r="M131" s="64" t="n">
        <f aca="false">IF(A131&gt;Inputs!$G$13,(1-Inputs!$G$12)*INDEX($I$11:$I$190,A131-Inputs!$G$13),0)</f>
        <v>0</v>
      </c>
      <c r="N131" s="64" t="n">
        <f aca="false">IF(D131,(H131-I131)*Inputs!$G$23,0)</f>
        <v>0</v>
      </c>
      <c r="O131" s="64" t="n">
        <f aca="false">AG130</f>
        <v>0</v>
      </c>
      <c r="P131" s="64" t="n">
        <f aca="false">AH130</f>
        <v>256983.980657201</v>
      </c>
      <c r="Q131" s="64" t="n">
        <f aca="false">IF(AND(D131,O131+P131&gt;0),Inputs!$C$25+Inputs!$C$26*H131/4,0)</f>
        <v>100000</v>
      </c>
      <c r="R131" s="64" t="n">
        <f aca="false">O131*IF(Inputs!$G$19="",G131+Inputs!$C$13,MAX(Inputs!$G$19,G131+Inputs!$C$13))*F131</f>
        <v>0</v>
      </c>
      <c r="S131" s="64" t="n">
        <f aca="false">P131*(G131+Inputs!$C$14)*F131</f>
        <v>1942.79889376844</v>
      </c>
      <c r="T131" s="64" t="n">
        <f aca="false">N131+M131-Q131-R131-S131</f>
        <v>-101942.798893768</v>
      </c>
      <c r="U131" s="64" t="n">
        <f aca="false">W130</f>
        <v>260422.420657149</v>
      </c>
      <c r="V131" s="64" t="n">
        <f aca="false">MIN(U131+I131,MAX(T131,0))</f>
        <v>0</v>
      </c>
      <c r="W131" s="64" t="n">
        <f aca="false">U131+I131-V131</f>
        <v>260422.420657149</v>
      </c>
      <c r="X131" s="64" t="n">
        <f aca="false">K131+L131+V131+IF(E131,H131-I131-K131-L131,0)</f>
        <v>0</v>
      </c>
      <c r="Y131" s="61" t="b">
        <f aca="false">AND(Inputs!$C$21=1,O131/Inputs!$C$10&lt;=Inputs!$C$22,Inputs!$G$14&lt;Inputs!$C$23,W131&lt;1)</f>
        <v>0</v>
      </c>
      <c r="Z131" s="61" t="b">
        <f aca="false">OR(AND(Inputs!$G$15=1,H131/Inputs!$C$17&lt;=Inputs!$C$24),AND(Inputs!$G$15=2,C131&gt;=Inputs!$G$16))</f>
        <v>0</v>
      </c>
      <c r="AA131" s="61" t="b">
        <f aca="false">OR(AA130,Z131)</f>
        <v>0</v>
      </c>
      <c r="AB131" s="61" t="b">
        <f aca="false">AND(Z131,NOT(AA130),D131,O131&gt;0)</f>
        <v>0</v>
      </c>
      <c r="AC131" s="63" t="n">
        <f aca="false">IF(AND(Y131,NOT(E131),O131+P131&gt;0),O131/(O131+P131),1)</f>
        <v>1</v>
      </c>
      <c r="AD131" s="64" t="n">
        <f aca="false">IF(AB131,O131,IF(D131,MIN(O131,IF(E131,AC131*X131+BF130,BE131*Inputs!$G$20)),0))</f>
        <v>0</v>
      </c>
      <c r="AE131" s="64" t="n">
        <f aca="false">IF(AB131,P131,IF(D131,MAX(MIN(P131,X131-MIN(O131,AC131*X131)),0),0))</f>
        <v>0</v>
      </c>
      <c r="AF131" s="64" t="n">
        <f aca="false">IF(OR(AB131,E131),0,MAX(H131-I131-K131-L131,0))</f>
        <v>0</v>
      </c>
      <c r="AG131" s="64" t="n">
        <f aca="false">IF(E131,0,O131-AD131)</f>
        <v>0</v>
      </c>
      <c r="AH131" s="64" t="n">
        <f aca="false">IF(OR(AB131,E131),0,P131-AE131)</f>
        <v>256983.980657201</v>
      </c>
      <c r="AI131" s="64" t="n">
        <f aca="false">IF(D131,R131+AD131,0)</f>
        <v>0</v>
      </c>
      <c r="AJ131" s="65" t="n">
        <f aca="false">(C131-Inputs!$G$6)/365</f>
        <v>30.1643835616438</v>
      </c>
      <c r="AK131" s="29" t="n">
        <f aca="false">AG131/Inputs!$C$10</f>
        <v>0</v>
      </c>
      <c r="AL131" s="5"/>
      <c r="AM131" s="66" t="n">
        <f aca="false">F131</f>
        <v>0.255555555555556</v>
      </c>
      <c r="AN131" s="5"/>
      <c r="AO131" s="5" t="n">
        <f aca="false">AO130+LN(1+($G131+AO$7)*$AM131)</f>
        <v>0.765820543189737</v>
      </c>
      <c r="AP131" s="5" t="n">
        <f aca="false">AP130+LN(1+($G131+AP$7)*$AM131)</f>
        <v>0.768859509839503</v>
      </c>
      <c r="AQ131" s="5" t="n">
        <f aca="false">AQ130+LN(1+($G131+AQ$7)*$AM131)</f>
        <v>0.866474893857492</v>
      </c>
      <c r="AR131" s="5" t="n">
        <f aca="false">AR130+LN(1+($G131+AR$7)*$AM131)</f>
        <v>0.86951132928714</v>
      </c>
      <c r="AS131" s="5" t="n">
        <f aca="false">AS130+LN(1+($G131+AS$7)*$AM131)</f>
        <v>0.867578639269475</v>
      </c>
      <c r="AT131" s="5" t="n">
        <f aca="false">AT130+LN(1+($G131+AT$7)*$AM131)</f>
        <v>0.870615046954236</v>
      </c>
      <c r="AU131" s="5" t="n">
        <f aca="false">AU130+LN(1+($G131+AU$7)*$AM131)</f>
        <v>0.867578403609331</v>
      </c>
      <c r="AV131" s="5" t="n">
        <f aca="false">AV130+LN(1+($G131+AV$7)*$AM131)</f>
        <v>0.870614811300015</v>
      </c>
      <c r="AW131" s="5" t="n">
        <f aca="false">AW130+LN(1+($G131+AW$7)*$AM131)</f>
        <v>0.867578403688364</v>
      </c>
      <c r="AX131" s="5" t="n">
        <f aca="false">AX130+LN(1+($G131+AX$7)*$AM131)</f>
        <v>0.870614811379052</v>
      </c>
      <c r="AY131" s="5" t="n">
        <f aca="false">AY130+LN(1+($G131+AY$7)*$AM131)</f>
        <v>0.867578403688349</v>
      </c>
      <c r="AZ131" s="5" t="n">
        <f aca="false">AZ130+LN(1+($G131+AZ$7)*$AM131)</f>
        <v>0.870614811379025</v>
      </c>
      <c r="BA131" s="5" t="n">
        <f aca="false">BA130+LN(1+($G131+BA$7)*$AM131)</f>
        <v>0.867578403688349</v>
      </c>
      <c r="BB131" s="5" t="n">
        <f aca="false">BB130+LN(1+($G131+BB$7)*$AM131)</f>
        <v>0.870614811379025</v>
      </c>
      <c r="BC131" s="5" t="n">
        <f aca="false">BC130+LN(1+($G131+BC$7)*$AM131)</f>
        <v>0.867578403688349</v>
      </c>
      <c r="BD131" s="5" t="n">
        <f aca="false">BD130+LN(1+($G131+BD$7)*$AM131)</f>
        <v>0.870614811379025</v>
      </c>
      <c r="BE131" s="5" t="n">
        <f aca="false">IF(AB131,O131,IF(D131,MIN(O131,AC131*X131+BF130),0))</f>
        <v>0</v>
      </c>
      <c r="BF131" s="5" t="n">
        <f aca="false">IF(OR(AB131,E131),0,BE131-AD131)</f>
        <v>0</v>
      </c>
      <c r="BG131" s="5" t="n">
        <f aca="false">BG130+LN(1+($G131+BG$7)*$AM131)</f>
        <v>0.837210128062857</v>
      </c>
      <c r="BH131" s="5"/>
      <c r="BI131" s="5" t="n">
        <f aca="false">BI130+LN(1+($G131+BI$7)*$AM131)</f>
        <v>0.897939046432398</v>
      </c>
      <c r="BJ131" s="5"/>
      <c r="BK131" s="62" t="n">
        <f aca="false">C131</f>
        <v>57299</v>
      </c>
      <c r="BL131" s="67" t="n">
        <f aca="false">AI131</f>
        <v>0</v>
      </c>
    </row>
    <row r="132" customFormat="false" ht="15" hidden="false" customHeight="true" outlineLevel="0" collapsed="false">
      <c r="A132" s="3" t="n">
        <v>122</v>
      </c>
      <c r="B132" s="38" t="n">
        <f aca="false">EDATE(Inputs!$C$8,3*(A132-1))</f>
        <v>57391</v>
      </c>
      <c r="C132" s="38" t="n">
        <f aca="false">WORKDAY(B132-1,1)</f>
        <v>57391</v>
      </c>
      <c r="D132" s="61" t="b">
        <f aca="false">C132&lt;=Inputs!$C$9</f>
        <v>1</v>
      </c>
      <c r="E132" s="61" t="b">
        <f aca="false">AND(D132,NOT(D133))</f>
        <v>0</v>
      </c>
      <c r="F132" s="63" t="n">
        <f aca="false">(C132-C131)/360</f>
        <v>0.255555555555556</v>
      </c>
      <c r="G132" s="57" t="n">
        <f aca="false">Curve!D125</f>
        <v>0.02252</v>
      </c>
      <c r="H132" s="64" t="n">
        <f aca="false">AF131</f>
        <v>0</v>
      </c>
      <c r="I132" s="64" t="n">
        <f aca="false">IF(D132,H132*Inputs!$G$22,0)</f>
        <v>0</v>
      </c>
      <c r="J132" s="32" t="n">
        <f aca="false">MAX(Inputs!$G$24-(A132-1),1)</f>
        <v>1</v>
      </c>
      <c r="K132" s="64" t="n">
        <f aca="false">IF(D132,MIN(H132-I132,IF(J132&gt;1,(H132-I132)*Inputs!$G$23/((1+Inputs!$G$23)^J132-1),H132-I132)),0)</f>
        <v>0</v>
      </c>
      <c r="L132" s="64" t="n">
        <f aca="false">IF(D132,(H132-I132-K132)*Inputs!$G$21,0)</f>
        <v>0</v>
      </c>
      <c r="M132" s="64" t="n">
        <f aca="false">IF(A132&gt;Inputs!$G$13,(1-Inputs!$G$12)*INDEX($I$11:$I$190,A132-Inputs!$G$13),0)</f>
        <v>0</v>
      </c>
      <c r="N132" s="64" t="n">
        <f aca="false">IF(D132,(H132-I132)*Inputs!$G$23,0)</f>
        <v>0</v>
      </c>
      <c r="O132" s="64" t="n">
        <f aca="false">AG131</f>
        <v>0</v>
      </c>
      <c r="P132" s="64" t="n">
        <f aca="false">AH131</f>
        <v>256983.980657201</v>
      </c>
      <c r="Q132" s="64" t="n">
        <f aca="false">IF(AND(D132,O132+P132&gt;0),Inputs!$C$25+Inputs!$C$26*H132/4,0)</f>
        <v>100000</v>
      </c>
      <c r="R132" s="64" t="n">
        <f aca="false">O132*IF(Inputs!$G$19="",G132+Inputs!$C$13,MAX(Inputs!$G$19,G132+Inputs!$C$13))*F132</f>
        <v>0</v>
      </c>
      <c r="S132" s="64" t="n">
        <f aca="false">P132*(G132+Inputs!$C$14)*F132</f>
        <v>1942.79889376844</v>
      </c>
      <c r="T132" s="64" t="n">
        <f aca="false">N132+M132-Q132-R132-S132</f>
        <v>-101942.798893768</v>
      </c>
      <c r="U132" s="64" t="n">
        <f aca="false">W131</f>
        <v>260422.420657149</v>
      </c>
      <c r="V132" s="64" t="n">
        <f aca="false">MIN(U132+I132,MAX(T132,0))</f>
        <v>0</v>
      </c>
      <c r="W132" s="64" t="n">
        <f aca="false">U132+I132-V132</f>
        <v>260422.420657149</v>
      </c>
      <c r="X132" s="64" t="n">
        <f aca="false">K132+L132+V132+IF(E132,H132-I132-K132-L132,0)</f>
        <v>0</v>
      </c>
      <c r="Y132" s="61" t="b">
        <f aca="false">AND(Inputs!$C$21=1,O132/Inputs!$C$10&lt;=Inputs!$C$22,Inputs!$G$14&lt;Inputs!$C$23,W132&lt;1)</f>
        <v>0</v>
      </c>
      <c r="Z132" s="61" t="b">
        <f aca="false">OR(AND(Inputs!$G$15=1,H132/Inputs!$C$17&lt;=Inputs!$C$24),AND(Inputs!$G$15=2,C132&gt;=Inputs!$G$16))</f>
        <v>0</v>
      </c>
      <c r="AA132" s="61" t="b">
        <f aca="false">OR(AA131,Z132)</f>
        <v>0</v>
      </c>
      <c r="AB132" s="61" t="b">
        <f aca="false">AND(Z132,NOT(AA131),D132,O132&gt;0)</f>
        <v>0</v>
      </c>
      <c r="AC132" s="63" t="n">
        <f aca="false">IF(AND(Y132,NOT(E132),O132+P132&gt;0),O132/(O132+P132),1)</f>
        <v>1</v>
      </c>
      <c r="AD132" s="64" t="n">
        <f aca="false">IF(AB132,O132,IF(D132,MIN(O132,IF(E132,AC132*X132+BF131,BE132*Inputs!$G$20)),0))</f>
        <v>0</v>
      </c>
      <c r="AE132" s="64" t="n">
        <f aca="false">IF(AB132,P132,IF(D132,MAX(MIN(P132,X132-MIN(O132,AC132*X132)),0),0))</f>
        <v>0</v>
      </c>
      <c r="AF132" s="64" t="n">
        <f aca="false">IF(OR(AB132,E132),0,MAX(H132-I132-K132-L132,0))</f>
        <v>0</v>
      </c>
      <c r="AG132" s="64" t="n">
        <f aca="false">IF(E132,0,O132-AD132)</f>
        <v>0</v>
      </c>
      <c r="AH132" s="64" t="n">
        <f aca="false">IF(OR(AB132,E132),0,P132-AE132)</f>
        <v>256983.980657201</v>
      </c>
      <c r="AI132" s="64" t="n">
        <f aca="false">IF(D132,R132+AD132,0)</f>
        <v>0</v>
      </c>
      <c r="AJ132" s="65" t="n">
        <f aca="false">(C132-Inputs!$G$6)/365</f>
        <v>30.4164383561644</v>
      </c>
      <c r="AK132" s="29" t="n">
        <f aca="false">AG132/Inputs!$C$10</f>
        <v>0</v>
      </c>
      <c r="AL132" s="5"/>
      <c r="AM132" s="66" t="n">
        <f aca="false">F132</f>
        <v>0.255555555555556</v>
      </c>
      <c r="AN132" s="5"/>
      <c r="AO132" s="5" t="n">
        <f aca="false">AO131+LN(1+($G132+AO$7)*$AM132)</f>
        <v>0.772219581160894</v>
      </c>
      <c r="AP132" s="5" t="n">
        <f aca="false">AP131+LN(1+($G132+AP$7)*$AM132)</f>
        <v>0.775283940034967</v>
      </c>
      <c r="AQ132" s="5" t="n">
        <f aca="false">AQ131+LN(1+($G132+AQ$7)*$AM132)</f>
        <v>0.873714950684973</v>
      </c>
      <c r="AR132" s="5" t="n">
        <f aca="false">AR131+LN(1+($G132+AR$7)*$AM132)</f>
        <v>0.876776756992836</v>
      </c>
      <c r="AS132" s="5" t="n">
        <f aca="false">AS131+LN(1+($G132+AS$7)*$AM132)</f>
        <v>0.874827918421341</v>
      </c>
      <c r="AT132" s="5" t="n">
        <f aca="false">AT131+LN(1+($G132+AT$7)*$AM132)</f>
        <v>0.877889696750343</v>
      </c>
      <c r="AU132" s="5" t="n">
        <f aca="false">AU131+LN(1+($G132+AU$7)*$AM132)</f>
        <v>0.874827680792143</v>
      </c>
      <c r="AV132" s="5" t="n">
        <f aca="false">AV131+LN(1+($G132+AV$7)*$AM132)</f>
        <v>0.877889459127118</v>
      </c>
      <c r="AW132" s="5" t="n">
        <f aca="false">AW131+LN(1+($G132+AW$7)*$AM132)</f>
        <v>0.874827680871837</v>
      </c>
      <c r="AX132" s="5" t="n">
        <f aca="false">AX131+LN(1+($G132+AX$7)*$AM132)</f>
        <v>0.877889459206815</v>
      </c>
      <c r="AY132" s="5" t="n">
        <f aca="false">AY131+LN(1+($G132+AY$7)*$AM132)</f>
        <v>0.874827680871821</v>
      </c>
      <c r="AZ132" s="5" t="n">
        <f aca="false">AZ131+LN(1+($G132+AZ$7)*$AM132)</f>
        <v>0.877889459206788</v>
      </c>
      <c r="BA132" s="5" t="n">
        <f aca="false">BA131+LN(1+($G132+BA$7)*$AM132)</f>
        <v>0.874827680871821</v>
      </c>
      <c r="BB132" s="5" t="n">
        <f aca="false">BB131+LN(1+($G132+BB$7)*$AM132)</f>
        <v>0.877889459206788</v>
      </c>
      <c r="BC132" s="5" t="n">
        <f aca="false">BC131+LN(1+($G132+BC$7)*$AM132)</f>
        <v>0.874827680871821</v>
      </c>
      <c r="BD132" s="5" t="n">
        <f aca="false">BD131+LN(1+($G132+BD$7)*$AM132)</f>
        <v>0.877889459206788</v>
      </c>
      <c r="BE132" s="5" t="n">
        <f aca="false">IF(AB132,O132,IF(D132,MIN(O132,AC132*X132+BF131),0))</f>
        <v>0</v>
      </c>
      <c r="BF132" s="5" t="n">
        <f aca="false">IF(OR(AB132,E132),0,BE132-AD132)</f>
        <v>0</v>
      </c>
      <c r="BG132" s="5" t="n">
        <f aca="false">BG131+LN(1+($G132+BG$7)*$AM132)</f>
        <v>0.844205663395307</v>
      </c>
      <c r="BH132" s="5"/>
      <c r="BI132" s="5" t="n">
        <f aca="false">BI131+LN(1+($G132+BI$7)*$AM132)</f>
        <v>0.905442001098298</v>
      </c>
      <c r="BJ132" s="5"/>
      <c r="BK132" s="62" t="n">
        <f aca="false">C132</f>
        <v>57391</v>
      </c>
      <c r="BL132" s="67" t="n">
        <f aca="false">AI132</f>
        <v>0</v>
      </c>
    </row>
    <row r="133" customFormat="false" ht="15" hidden="false" customHeight="true" outlineLevel="0" collapsed="false">
      <c r="A133" s="3" t="n">
        <v>123</v>
      </c>
      <c r="B133" s="38" t="n">
        <f aca="false">EDATE(Inputs!$C$8,3*(A133-1))</f>
        <v>57480</v>
      </c>
      <c r="C133" s="38" t="n">
        <f aca="false">WORKDAY(B133-1,1)</f>
        <v>57480</v>
      </c>
      <c r="D133" s="61" t="b">
        <f aca="false">C133&lt;=Inputs!$C$9</f>
        <v>1</v>
      </c>
      <c r="E133" s="61" t="b">
        <f aca="false">AND(D133,NOT(D134))</f>
        <v>0</v>
      </c>
      <c r="F133" s="63" t="n">
        <f aca="false">(C133-C132)/360</f>
        <v>0.247222222222222</v>
      </c>
      <c r="G133" s="57" t="n">
        <f aca="false">Curve!D126</f>
        <v>0.02252</v>
      </c>
      <c r="H133" s="64" t="n">
        <f aca="false">AF132</f>
        <v>0</v>
      </c>
      <c r="I133" s="64" t="n">
        <f aca="false">IF(D133,H133*Inputs!$G$22,0)</f>
        <v>0</v>
      </c>
      <c r="J133" s="32" t="n">
        <f aca="false">MAX(Inputs!$G$24-(A133-1),1)</f>
        <v>1</v>
      </c>
      <c r="K133" s="64" t="n">
        <f aca="false">IF(D133,MIN(H133-I133,IF(J133&gt;1,(H133-I133)*Inputs!$G$23/((1+Inputs!$G$23)^J133-1),H133-I133)),0)</f>
        <v>0</v>
      </c>
      <c r="L133" s="64" t="n">
        <f aca="false">IF(D133,(H133-I133-K133)*Inputs!$G$21,0)</f>
        <v>0</v>
      </c>
      <c r="M133" s="64" t="n">
        <f aca="false">IF(A133&gt;Inputs!$G$13,(1-Inputs!$G$12)*INDEX($I$11:$I$190,A133-Inputs!$G$13),0)</f>
        <v>0</v>
      </c>
      <c r="N133" s="64" t="n">
        <f aca="false">IF(D133,(H133-I133)*Inputs!$G$23,0)</f>
        <v>0</v>
      </c>
      <c r="O133" s="64" t="n">
        <f aca="false">AG132</f>
        <v>0</v>
      </c>
      <c r="P133" s="64" t="n">
        <f aca="false">AH132</f>
        <v>256983.980657201</v>
      </c>
      <c r="Q133" s="64" t="n">
        <f aca="false">IF(AND(D133,O133+P133&gt;0),Inputs!$C$25+Inputs!$C$26*H133/4,0)</f>
        <v>100000</v>
      </c>
      <c r="R133" s="64" t="n">
        <f aca="false">O133*IF(Inputs!$G$19="",G133+Inputs!$C$13,MAX(Inputs!$G$19,G133+Inputs!$C$13))*F133</f>
        <v>0</v>
      </c>
      <c r="S133" s="64" t="n">
        <f aca="false">P133*(G133+Inputs!$C$14)*F133</f>
        <v>1879.44675592817</v>
      </c>
      <c r="T133" s="64" t="n">
        <f aca="false">N133+M133-Q133-R133-S133</f>
        <v>-101879.446755928</v>
      </c>
      <c r="U133" s="64" t="n">
        <f aca="false">W132</f>
        <v>260422.420657149</v>
      </c>
      <c r="V133" s="64" t="n">
        <f aca="false">MIN(U133+I133,MAX(T133,0))</f>
        <v>0</v>
      </c>
      <c r="W133" s="64" t="n">
        <f aca="false">U133+I133-V133</f>
        <v>260422.420657149</v>
      </c>
      <c r="X133" s="64" t="n">
        <f aca="false">K133+L133+V133+IF(E133,H133-I133-K133-L133,0)</f>
        <v>0</v>
      </c>
      <c r="Y133" s="61" t="b">
        <f aca="false">AND(Inputs!$C$21=1,O133/Inputs!$C$10&lt;=Inputs!$C$22,Inputs!$G$14&lt;Inputs!$C$23,W133&lt;1)</f>
        <v>0</v>
      </c>
      <c r="Z133" s="61" t="b">
        <f aca="false">OR(AND(Inputs!$G$15=1,H133/Inputs!$C$17&lt;=Inputs!$C$24),AND(Inputs!$G$15=2,C133&gt;=Inputs!$G$16))</f>
        <v>0</v>
      </c>
      <c r="AA133" s="61" t="b">
        <f aca="false">OR(AA132,Z133)</f>
        <v>0</v>
      </c>
      <c r="AB133" s="61" t="b">
        <f aca="false">AND(Z133,NOT(AA132),D133,O133&gt;0)</f>
        <v>0</v>
      </c>
      <c r="AC133" s="63" t="n">
        <f aca="false">IF(AND(Y133,NOT(E133),O133+P133&gt;0),O133/(O133+P133),1)</f>
        <v>1</v>
      </c>
      <c r="AD133" s="64" t="n">
        <f aca="false">IF(AB133,O133,IF(D133,MIN(O133,IF(E133,AC133*X133+BF132,BE133*Inputs!$G$20)),0))</f>
        <v>0</v>
      </c>
      <c r="AE133" s="64" t="n">
        <f aca="false">IF(AB133,P133,IF(D133,MAX(MIN(P133,X133-MIN(O133,AC133*X133)),0),0))</f>
        <v>0</v>
      </c>
      <c r="AF133" s="64" t="n">
        <f aca="false">IF(OR(AB133,E133),0,MAX(H133-I133-K133-L133,0))</f>
        <v>0</v>
      </c>
      <c r="AG133" s="64" t="n">
        <f aca="false">IF(E133,0,O133-AD133)</f>
        <v>0</v>
      </c>
      <c r="AH133" s="64" t="n">
        <f aca="false">IF(OR(AB133,E133),0,P133-AE133)</f>
        <v>256983.980657201</v>
      </c>
      <c r="AI133" s="64" t="n">
        <f aca="false">IF(D133,R133+AD133,0)</f>
        <v>0</v>
      </c>
      <c r="AJ133" s="65" t="n">
        <f aca="false">(C133-Inputs!$G$6)/365</f>
        <v>30.6602739726027</v>
      </c>
      <c r="AK133" s="29" t="n">
        <f aca="false">AG133/Inputs!$C$10</f>
        <v>0</v>
      </c>
      <c r="AL133" s="5"/>
      <c r="AM133" s="66" t="n">
        <f aca="false">F133</f>
        <v>0.247222222222222</v>
      </c>
      <c r="AN133" s="5"/>
      <c r="AO133" s="5" t="n">
        <f aca="false">AO132+LN(1+($G133+AO$7)*$AM133)</f>
        <v>0.778410599419336</v>
      </c>
      <c r="AP133" s="5" t="n">
        <f aca="false">AP132+LN(1+($G133+AP$7)*$AM133)</f>
        <v>0.781499527630883</v>
      </c>
      <c r="AQ133" s="5" t="n">
        <f aca="false">AQ132+LN(1+($G133+AQ$7)*$AM133)</f>
        <v>0.880719743619842</v>
      </c>
      <c r="AR133" s="5" t="n">
        <f aca="false">AR132+LN(1+($G133+AR$7)*$AM133)</f>
        <v>0.883806099279652</v>
      </c>
      <c r="AS133" s="5" t="n">
        <f aca="false">AS132+LN(1+($G133+AS$7)*$AM133)</f>
        <v>0.881841635053136</v>
      </c>
      <c r="AT133" s="5" t="n">
        <f aca="false">AT132+LN(1+($G133+AT$7)*$AM133)</f>
        <v>0.884927962515018</v>
      </c>
      <c r="AU133" s="5" t="n">
        <f aca="false">AU132+LN(1+($G133+AU$7)*$AM133)</f>
        <v>0.881841395518643</v>
      </c>
      <c r="AV133" s="5" t="n">
        <f aca="false">AV132+LN(1+($G133+AV$7)*$AM133)</f>
        <v>0.884927722986544</v>
      </c>
      <c r="AW133" s="5" t="n">
        <f aca="false">AW132+LN(1+($G133+AW$7)*$AM133)</f>
        <v>0.881841395598976</v>
      </c>
      <c r="AX133" s="5" t="n">
        <f aca="false">AX132+LN(1+($G133+AX$7)*$AM133)</f>
        <v>0.884927723066881</v>
      </c>
      <c r="AY133" s="5" t="n">
        <f aca="false">AY132+LN(1+($G133+AY$7)*$AM133)</f>
        <v>0.88184139559896</v>
      </c>
      <c r="AZ133" s="5" t="n">
        <f aca="false">AZ132+LN(1+($G133+AZ$7)*$AM133)</f>
        <v>0.884927723066854</v>
      </c>
      <c r="BA133" s="5" t="n">
        <f aca="false">BA132+LN(1+($G133+BA$7)*$AM133)</f>
        <v>0.88184139559896</v>
      </c>
      <c r="BB133" s="5" t="n">
        <f aca="false">BB132+LN(1+($G133+BB$7)*$AM133)</f>
        <v>0.884927723066854</v>
      </c>
      <c r="BC133" s="5" t="n">
        <f aca="false">BC132+LN(1+($G133+BC$7)*$AM133)</f>
        <v>0.88184139559896</v>
      </c>
      <c r="BD133" s="5" t="n">
        <f aca="false">BD132+LN(1+($G133+BD$7)*$AM133)</f>
        <v>0.884927723066854</v>
      </c>
      <c r="BE133" s="5" t="n">
        <f aca="false">IF(AB133,O133,IF(D133,MIN(O133,AC133*X133+BF132),0))</f>
        <v>0</v>
      </c>
      <c r="BF133" s="5" t="n">
        <f aca="false">IF(OR(AB133,E133),0,BE133-AD133)</f>
        <v>0</v>
      </c>
      <c r="BG133" s="5" t="n">
        <f aca="false">BG132+LN(1+($G133+BG$7)*$AM133)</f>
        <v>0.850973853641185</v>
      </c>
      <c r="BH133" s="5"/>
      <c r="BI133" s="5" t="n">
        <f aca="false">BI132+LN(1+($G133+BI$7)*$AM133)</f>
        <v>0.912701180039223</v>
      </c>
      <c r="BJ133" s="5"/>
      <c r="BK133" s="62" t="n">
        <f aca="false">C133</f>
        <v>57480</v>
      </c>
      <c r="BL133" s="67" t="n">
        <f aca="false">AI133</f>
        <v>0</v>
      </c>
    </row>
    <row r="134" customFormat="false" ht="15" hidden="false" customHeight="true" outlineLevel="0" collapsed="false">
      <c r="A134" s="3" t="n">
        <v>124</v>
      </c>
      <c r="B134" s="38" t="n">
        <f aca="false">EDATE(Inputs!$C$8,3*(A134-1))</f>
        <v>57572</v>
      </c>
      <c r="C134" s="38" t="n">
        <f aca="false">WORKDAY(B134-1,1)</f>
        <v>57572</v>
      </c>
      <c r="D134" s="61" t="b">
        <f aca="false">C134&lt;=Inputs!$C$9</f>
        <v>1</v>
      </c>
      <c r="E134" s="61" t="b">
        <f aca="false">AND(D134,NOT(D135))</f>
        <v>0</v>
      </c>
      <c r="F134" s="63" t="n">
        <f aca="false">(C134-C133)/360</f>
        <v>0.255555555555556</v>
      </c>
      <c r="G134" s="57" t="n">
        <f aca="false">Curve!D127</f>
        <v>0.02252</v>
      </c>
      <c r="H134" s="64" t="n">
        <f aca="false">AF133</f>
        <v>0</v>
      </c>
      <c r="I134" s="64" t="n">
        <f aca="false">IF(D134,H134*Inputs!$G$22,0)</f>
        <v>0</v>
      </c>
      <c r="J134" s="32" t="n">
        <f aca="false">MAX(Inputs!$G$24-(A134-1),1)</f>
        <v>1</v>
      </c>
      <c r="K134" s="64" t="n">
        <f aca="false">IF(D134,MIN(H134-I134,IF(J134&gt;1,(H134-I134)*Inputs!$G$23/((1+Inputs!$G$23)^J134-1),H134-I134)),0)</f>
        <v>0</v>
      </c>
      <c r="L134" s="64" t="n">
        <f aca="false">IF(D134,(H134-I134-K134)*Inputs!$G$21,0)</f>
        <v>0</v>
      </c>
      <c r="M134" s="64" t="n">
        <f aca="false">IF(A134&gt;Inputs!$G$13,(1-Inputs!$G$12)*INDEX($I$11:$I$190,A134-Inputs!$G$13),0)</f>
        <v>0</v>
      </c>
      <c r="N134" s="64" t="n">
        <f aca="false">IF(D134,(H134-I134)*Inputs!$G$23,0)</f>
        <v>0</v>
      </c>
      <c r="O134" s="64" t="n">
        <f aca="false">AG133</f>
        <v>0</v>
      </c>
      <c r="P134" s="64" t="n">
        <f aca="false">AH133</f>
        <v>256983.980657201</v>
      </c>
      <c r="Q134" s="64" t="n">
        <f aca="false">IF(AND(D134,O134+P134&gt;0),Inputs!$C$25+Inputs!$C$26*H134/4,0)</f>
        <v>100000</v>
      </c>
      <c r="R134" s="64" t="n">
        <f aca="false">O134*IF(Inputs!$G$19="",G134+Inputs!$C$13,MAX(Inputs!$G$19,G134+Inputs!$C$13))*F134</f>
        <v>0</v>
      </c>
      <c r="S134" s="64" t="n">
        <f aca="false">P134*(G134+Inputs!$C$14)*F134</f>
        <v>1942.79889376844</v>
      </c>
      <c r="T134" s="64" t="n">
        <f aca="false">N134+M134-Q134-R134-S134</f>
        <v>-101942.798893768</v>
      </c>
      <c r="U134" s="64" t="n">
        <f aca="false">W133</f>
        <v>260422.420657149</v>
      </c>
      <c r="V134" s="64" t="n">
        <f aca="false">MIN(U134+I134,MAX(T134,0))</f>
        <v>0</v>
      </c>
      <c r="W134" s="64" t="n">
        <f aca="false">U134+I134-V134</f>
        <v>260422.420657149</v>
      </c>
      <c r="X134" s="64" t="n">
        <f aca="false">K134+L134+V134+IF(E134,H134-I134-K134-L134,0)</f>
        <v>0</v>
      </c>
      <c r="Y134" s="61" t="b">
        <f aca="false">AND(Inputs!$C$21=1,O134/Inputs!$C$10&lt;=Inputs!$C$22,Inputs!$G$14&lt;Inputs!$C$23,W134&lt;1)</f>
        <v>0</v>
      </c>
      <c r="Z134" s="61" t="b">
        <f aca="false">OR(AND(Inputs!$G$15=1,H134/Inputs!$C$17&lt;=Inputs!$C$24),AND(Inputs!$G$15=2,C134&gt;=Inputs!$G$16))</f>
        <v>0</v>
      </c>
      <c r="AA134" s="61" t="b">
        <f aca="false">OR(AA133,Z134)</f>
        <v>0</v>
      </c>
      <c r="AB134" s="61" t="b">
        <f aca="false">AND(Z134,NOT(AA133),D134,O134&gt;0)</f>
        <v>0</v>
      </c>
      <c r="AC134" s="63" t="n">
        <f aca="false">IF(AND(Y134,NOT(E134),O134+P134&gt;0),O134/(O134+P134),1)</f>
        <v>1</v>
      </c>
      <c r="AD134" s="64" t="n">
        <f aca="false">IF(AB134,O134,IF(D134,MIN(O134,IF(E134,AC134*X134+BF133,BE134*Inputs!$G$20)),0))</f>
        <v>0</v>
      </c>
      <c r="AE134" s="64" t="n">
        <f aca="false">IF(AB134,P134,IF(D134,MAX(MIN(P134,X134-MIN(O134,AC134*X134)),0),0))</f>
        <v>0</v>
      </c>
      <c r="AF134" s="64" t="n">
        <f aca="false">IF(OR(AB134,E134),0,MAX(H134-I134-K134-L134,0))</f>
        <v>0</v>
      </c>
      <c r="AG134" s="64" t="n">
        <f aca="false">IF(E134,0,O134-AD134)</f>
        <v>0</v>
      </c>
      <c r="AH134" s="64" t="n">
        <f aca="false">IF(OR(AB134,E134),0,P134-AE134)</f>
        <v>256983.980657201</v>
      </c>
      <c r="AI134" s="64" t="n">
        <f aca="false">IF(D134,R134+AD134,0)</f>
        <v>0</v>
      </c>
      <c r="AJ134" s="65" t="n">
        <f aca="false">(C134-Inputs!$G$6)/365</f>
        <v>30.9123287671233</v>
      </c>
      <c r="AK134" s="29" t="n">
        <f aca="false">AG134/Inputs!$C$10</f>
        <v>0</v>
      </c>
      <c r="AL134" s="5"/>
      <c r="AM134" s="66" t="n">
        <f aca="false">F134</f>
        <v>0.255555555555556</v>
      </c>
      <c r="AN134" s="5"/>
      <c r="AO134" s="5" t="n">
        <f aca="false">AO133+LN(1+($G134+AO$7)*$AM134)</f>
        <v>0.784809637390494</v>
      </c>
      <c r="AP134" s="5" t="n">
        <f aca="false">AP133+LN(1+($G134+AP$7)*$AM134)</f>
        <v>0.787923957826346</v>
      </c>
      <c r="AQ134" s="5" t="n">
        <f aca="false">AQ133+LN(1+($G134+AQ$7)*$AM134)</f>
        <v>0.887959800447322</v>
      </c>
      <c r="AR134" s="5" t="n">
        <f aca="false">AR133+LN(1+($G134+AR$7)*$AM134)</f>
        <v>0.891071526985348</v>
      </c>
      <c r="AS134" s="5" t="n">
        <f aca="false">AS133+LN(1+($G134+AS$7)*$AM134)</f>
        <v>0.889090914205002</v>
      </c>
      <c r="AT134" s="5" t="n">
        <f aca="false">AT133+LN(1+($G134+AT$7)*$AM134)</f>
        <v>0.892202612311124</v>
      </c>
      <c r="AU134" s="5" t="n">
        <f aca="false">AU133+LN(1+($G134+AU$7)*$AM134)</f>
        <v>0.889090672701455</v>
      </c>
      <c r="AV134" s="5" t="n">
        <f aca="false">AV133+LN(1+($G134+AV$7)*$AM134)</f>
        <v>0.892202370813647</v>
      </c>
      <c r="AW134" s="5" t="n">
        <f aca="false">AW133+LN(1+($G134+AW$7)*$AM134)</f>
        <v>0.889090672782448</v>
      </c>
      <c r="AX134" s="5" t="n">
        <f aca="false">AX133+LN(1+($G134+AX$7)*$AM134)</f>
        <v>0.892202370894645</v>
      </c>
      <c r="AY134" s="5" t="n">
        <f aca="false">AY133+LN(1+($G134+AY$7)*$AM134)</f>
        <v>0.889090672782433</v>
      </c>
      <c r="AZ134" s="5" t="n">
        <f aca="false">AZ133+LN(1+($G134+AZ$7)*$AM134)</f>
        <v>0.892202370894617</v>
      </c>
      <c r="BA134" s="5" t="n">
        <f aca="false">BA133+LN(1+($G134+BA$7)*$AM134)</f>
        <v>0.889090672782433</v>
      </c>
      <c r="BB134" s="5" t="n">
        <f aca="false">BB133+LN(1+($G134+BB$7)*$AM134)</f>
        <v>0.892202370894617</v>
      </c>
      <c r="BC134" s="5" t="n">
        <f aca="false">BC133+LN(1+($G134+BC$7)*$AM134)</f>
        <v>0.889090672782433</v>
      </c>
      <c r="BD134" s="5" t="n">
        <f aca="false">BD133+LN(1+($G134+BD$7)*$AM134)</f>
        <v>0.892202370894617</v>
      </c>
      <c r="BE134" s="5" t="n">
        <f aca="false">IF(AB134,O134,IF(D134,MIN(O134,AC134*X134+BF133),0))</f>
        <v>0</v>
      </c>
      <c r="BF134" s="5" t="n">
        <f aca="false">IF(OR(AB134,E134),0,BE134-AD134)</f>
        <v>0</v>
      </c>
      <c r="BG134" s="5" t="n">
        <f aca="false">BG133+LN(1+($G134+BG$7)*$AM134)</f>
        <v>0.857969388973636</v>
      </c>
      <c r="BH134" s="5"/>
      <c r="BI134" s="5" t="n">
        <f aca="false">BI133+LN(1+($G134+BI$7)*$AM134)</f>
        <v>0.920204134705123</v>
      </c>
      <c r="BJ134" s="5"/>
      <c r="BK134" s="62" t="n">
        <f aca="false">C134</f>
        <v>57572</v>
      </c>
      <c r="BL134" s="67" t="n">
        <f aca="false">AI134</f>
        <v>0</v>
      </c>
    </row>
    <row r="135" customFormat="false" ht="15" hidden="false" customHeight="true" outlineLevel="0" collapsed="false">
      <c r="A135" s="3" t="n">
        <v>125</v>
      </c>
      <c r="B135" s="38" t="n">
        <f aca="false">EDATE(Inputs!$C$8,3*(A135-1))</f>
        <v>57664</v>
      </c>
      <c r="C135" s="38" t="n">
        <f aca="false">WORKDAY(B135-1,1)</f>
        <v>57664</v>
      </c>
      <c r="D135" s="61" t="b">
        <f aca="false">C135&lt;=Inputs!$C$9</f>
        <v>1</v>
      </c>
      <c r="E135" s="61" t="b">
        <f aca="false">AND(D135,NOT(D136))</f>
        <v>0</v>
      </c>
      <c r="F135" s="63" t="n">
        <f aca="false">(C135-C134)/360</f>
        <v>0.255555555555556</v>
      </c>
      <c r="G135" s="57" t="n">
        <f aca="false">Curve!D128</f>
        <v>0.02252</v>
      </c>
      <c r="H135" s="64" t="n">
        <f aca="false">AF134</f>
        <v>0</v>
      </c>
      <c r="I135" s="64" t="n">
        <f aca="false">IF(D135,H135*Inputs!$G$22,0)</f>
        <v>0</v>
      </c>
      <c r="J135" s="32" t="n">
        <f aca="false">MAX(Inputs!$G$24-(A135-1),1)</f>
        <v>1</v>
      </c>
      <c r="K135" s="64" t="n">
        <f aca="false">IF(D135,MIN(H135-I135,IF(J135&gt;1,(H135-I135)*Inputs!$G$23/((1+Inputs!$G$23)^J135-1),H135-I135)),0)</f>
        <v>0</v>
      </c>
      <c r="L135" s="64" t="n">
        <f aca="false">IF(D135,(H135-I135-K135)*Inputs!$G$21,0)</f>
        <v>0</v>
      </c>
      <c r="M135" s="64" t="n">
        <f aca="false">IF(A135&gt;Inputs!$G$13,(1-Inputs!$G$12)*INDEX($I$11:$I$190,A135-Inputs!$G$13),0)</f>
        <v>0</v>
      </c>
      <c r="N135" s="64" t="n">
        <f aca="false">IF(D135,(H135-I135)*Inputs!$G$23,0)</f>
        <v>0</v>
      </c>
      <c r="O135" s="64" t="n">
        <f aca="false">AG134</f>
        <v>0</v>
      </c>
      <c r="P135" s="64" t="n">
        <f aca="false">AH134</f>
        <v>256983.980657201</v>
      </c>
      <c r="Q135" s="64" t="n">
        <f aca="false">IF(AND(D135,O135+P135&gt;0),Inputs!$C$25+Inputs!$C$26*H135/4,0)</f>
        <v>100000</v>
      </c>
      <c r="R135" s="64" t="n">
        <f aca="false">O135*IF(Inputs!$G$19="",G135+Inputs!$C$13,MAX(Inputs!$G$19,G135+Inputs!$C$13))*F135</f>
        <v>0</v>
      </c>
      <c r="S135" s="64" t="n">
        <f aca="false">P135*(G135+Inputs!$C$14)*F135</f>
        <v>1942.79889376844</v>
      </c>
      <c r="T135" s="64" t="n">
        <f aca="false">N135+M135-Q135-R135-S135</f>
        <v>-101942.798893768</v>
      </c>
      <c r="U135" s="64" t="n">
        <f aca="false">W134</f>
        <v>260422.420657149</v>
      </c>
      <c r="V135" s="64" t="n">
        <f aca="false">MIN(U135+I135,MAX(T135,0))</f>
        <v>0</v>
      </c>
      <c r="W135" s="64" t="n">
        <f aca="false">U135+I135-V135</f>
        <v>260422.420657149</v>
      </c>
      <c r="X135" s="64" t="n">
        <f aca="false">K135+L135+V135+IF(E135,H135-I135-K135-L135,0)</f>
        <v>0</v>
      </c>
      <c r="Y135" s="61" t="b">
        <f aca="false">AND(Inputs!$C$21=1,O135/Inputs!$C$10&lt;=Inputs!$C$22,Inputs!$G$14&lt;Inputs!$C$23,W135&lt;1)</f>
        <v>0</v>
      </c>
      <c r="Z135" s="61" t="b">
        <f aca="false">OR(AND(Inputs!$G$15=1,H135/Inputs!$C$17&lt;=Inputs!$C$24),AND(Inputs!$G$15=2,C135&gt;=Inputs!$G$16))</f>
        <v>0</v>
      </c>
      <c r="AA135" s="61" t="b">
        <f aca="false">OR(AA134,Z135)</f>
        <v>0</v>
      </c>
      <c r="AB135" s="61" t="b">
        <f aca="false">AND(Z135,NOT(AA134),D135,O135&gt;0)</f>
        <v>0</v>
      </c>
      <c r="AC135" s="63" t="n">
        <f aca="false">IF(AND(Y135,NOT(E135),O135+P135&gt;0),O135/(O135+P135),1)</f>
        <v>1</v>
      </c>
      <c r="AD135" s="64" t="n">
        <f aca="false">IF(AB135,O135,IF(D135,MIN(O135,IF(E135,AC135*X135+BF134,BE135*Inputs!$G$20)),0))</f>
        <v>0</v>
      </c>
      <c r="AE135" s="64" t="n">
        <f aca="false">IF(AB135,P135,IF(D135,MAX(MIN(P135,X135-MIN(O135,AC135*X135)),0),0))</f>
        <v>0</v>
      </c>
      <c r="AF135" s="64" t="n">
        <f aca="false">IF(OR(AB135,E135),0,MAX(H135-I135-K135-L135,0))</f>
        <v>0</v>
      </c>
      <c r="AG135" s="64" t="n">
        <f aca="false">IF(E135,0,O135-AD135)</f>
        <v>0</v>
      </c>
      <c r="AH135" s="64" t="n">
        <f aca="false">IF(OR(AB135,E135),0,P135-AE135)</f>
        <v>256983.980657201</v>
      </c>
      <c r="AI135" s="64" t="n">
        <f aca="false">IF(D135,R135+AD135,0)</f>
        <v>0</v>
      </c>
      <c r="AJ135" s="65" t="n">
        <f aca="false">(C135-Inputs!$G$6)/365</f>
        <v>31.1643835616438</v>
      </c>
      <c r="AK135" s="29" t="n">
        <f aca="false">AG135/Inputs!$C$10</f>
        <v>0</v>
      </c>
      <c r="AL135" s="5"/>
      <c r="AM135" s="66" t="n">
        <f aca="false">F135</f>
        <v>0.255555555555556</v>
      </c>
      <c r="AN135" s="5"/>
      <c r="AO135" s="5" t="n">
        <f aca="false">AO134+LN(1+($G135+AO$7)*$AM135)</f>
        <v>0.791208675361651</v>
      </c>
      <c r="AP135" s="5" t="n">
        <f aca="false">AP134+LN(1+($G135+AP$7)*$AM135)</f>
        <v>0.79434838802181</v>
      </c>
      <c r="AQ135" s="5" t="n">
        <f aca="false">AQ134+LN(1+($G135+AQ$7)*$AM135)</f>
        <v>0.895199857274803</v>
      </c>
      <c r="AR135" s="5" t="n">
        <f aca="false">AR134+LN(1+($G135+AR$7)*$AM135)</f>
        <v>0.898336954691044</v>
      </c>
      <c r="AS135" s="5" t="n">
        <f aca="false">AS134+LN(1+($G135+AS$7)*$AM135)</f>
        <v>0.896340193356868</v>
      </c>
      <c r="AT135" s="5" t="n">
        <f aca="false">AT134+LN(1+($G135+AT$7)*$AM135)</f>
        <v>0.899477262107231</v>
      </c>
      <c r="AU135" s="5" t="n">
        <f aca="false">AU134+LN(1+($G135+AU$7)*$AM135)</f>
        <v>0.896339949884268</v>
      </c>
      <c r="AV135" s="5" t="n">
        <f aca="false">AV134+LN(1+($G135+AV$7)*$AM135)</f>
        <v>0.89947701864075</v>
      </c>
      <c r="AW135" s="5" t="n">
        <f aca="false">AW134+LN(1+($G135+AW$7)*$AM135)</f>
        <v>0.896339949965921</v>
      </c>
      <c r="AX135" s="5" t="n">
        <f aca="false">AX134+LN(1+($G135+AX$7)*$AM135)</f>
        <v>0.899477018722408</v>
      </c>
      <c r="AY135" s="5" t="n">
        <f aca="false">AY134+LN(1+($G135+AY$7)*$AM135)</f>
        <v>0.896339949965905</v>
      </c>
      <c r="AZ135" s="5" t="n">
        <f aca="false">AZ134+LN(1+($G135+AZ$7)*$AM135)</f>
        <v>0.89947701872238</v>
      </c>
      <c r="BA135" s="5" t="n">
        <f aca="false">BA134+LN(1+($G135+BA$7)*$AM135)</f>
        <v>0.896339949965905</v>
      </c>
      <c r="BB135" s="5" t="n">
        <f aca="false">BB134+LN(1+($G135+BB$7)*$AM135)</f>
        <v>0.89947701872238</v>
      </c>
      <c r="BC135" s="5" t="n">
        <f aca="false">BC134+LN(1+($G135+BC$7)*$AM135)</f>
        <v>0.896339949965905</v>
      </c>
      <c r="BD135" s="5" t="n">
        <f aca="false">BD134+LN(1+($G135+BD$7)*$AM135)</f>
        <v>0.89947701872238</v>
      </c>
      <c r="BE135" s="5" t="n">
        <f aca="false">IF(AB135,O135,IF(D135,MIN(O135,AC135*X135+BF134),0))</f>
        <v>0</v>
      </c>
      <c r="BF135" s="5" t="n">
        <f aca="false">IF(OR(AB135,E135),0,BE135-AD135)</f>
        <v>0</v>
      </c>
      <c r="BG135" s="5" t="n">
        <f aca="false">BG134+LN(1+($G135+BG$7)*$AM135)</f>
        <v>0.864964924306087</v>
      </c>
      <c r="BH135" s="5"/>
      <c r="BI135" s="5" t="n">
        <f aca="false">BI134+LN(1+($G135+BI$7)*$AM135)</f>
        <v>0.927707089371023</v>
      </c>
      <c r="BJ135" s="5"/>
      <c r="BK135" s="62" t="n">
        <f aca="false">C135</f>
        <v>57664</v>
      </c>
      <c r="BL135" s="67" t="n">
        <f aca="false">AI135</f>
        <v>0</v>
      </c>
    </row>
    <row r="136" customFormat="false" ht="15" hidden="false" customHeight="true" outlineLevel="0" collapsed="false">
      <c r="A136" s="3" t="n">
        <v>126</v>
      </c>
      <c r="B136" s="38" t="n">
        <f aca="false">EDATE(Inputs!$C$8,3*(A136-1))</f>
        <v>57756</v>
      </c>
      <c r="C136" s="38" t="n">
        <f aca="false">WORKDAY(B136-1,1)</f>
        <v>57756</v>
      </c>
      <c r="D136" s="61" t="b">
        <f aca="false">C136&lt;=Inputs!$C$9</f>
        <v>1</v>
      </c>
      <c r="E136" s="61" t="b">
        <f aca="false">AND(D136,NOT(D137))</f>
        <v>0</v>
      </c>
      <c r="F136" s="63" t="n">
        <f aca="false">(C136-C135)/360</f>
        <v>0.255555555555556</v>
      </c>
      <c r="G136" s="57" t="n">
        <f aca="false">Curve!D129</f>
        <v>0.02252</v>
      </c>
      <c r="H136" s="64" t="n">
        <f aca="false">AF135</f>
        <v>0</v>
      </c>
      <c r="I136" s="64" t="n">
        <f aca="false">IF(D136,H136*Inputs!$G$22,0)</f>
        <v>0</v>
      </c>
      <c r="J136" s="32" t="n">
        <f aca="false">MAX(Inputs!$G$24-(A136-1),1)</f>
        <v>1</v>
      </c>
      <c r="K136" s="64" t="n">
        <f aca="false">IF(D136,MIN(H136-I136,IF(J136&gt;1,(H136-I136)*Inputs!$G$23/((1+Inputs!$G$23)^J136-1),H136-I136)),0)</f>
        <v>0</v>
      </c>
      <c r="L136" s="64" t="n">
        <f aca="false">IF(D136,(H136-I136-K136)*Inputs!$G$21,0)</f>
        <v>0</v>
      </c>
      <c r="M136" s="64" t="n">
        <f aca="false">IF(A136&gt;Inputs!$G$13,(1-Inputs!$G$12)*INDEX($I$11:$I$190,A136-Inputs!$G$13),0)</f>
        <v>0</v>
      </c>
      <c r="N136" s="64" t="n">
        <f aca="false">IF(D136,(H136-I136)*Inputs!$G$23,0)</f>
        <v>0</v>
      </c>
      <c r="O136" s="64" t="n">
        <f aca="false">AG135</f>
        <v>0</v>
      </c>
      <c r="P136" s="64" t="n">
        <f aca="false">AH135</f>
        <v>256983.980657201</v>
      </c>
      <c r="Q136" s="64" t="n">
        <f aca="false">IF(AND(D136,O136+P136&gt;0),Inputs!$C$25+Inputs!$C$26*H136/4,0)</f>
        <v>100000</v>
      </c>
      <c r="R136" s="64" t="n">
        <f aca="false">O136*IF(Inputs!$G$19="",G136+Inputs!$C$13,MAX(Inputs!$G$19,G136+Inputs!$C$13))*F136</f>
        <v>0</v>
      </c>
      <c r="S136" s="64" t="n">
        <f aca="false">P136*(G136+Inputs!$C$14)*F136</f>
        <v>1942.79889376844</v>
      </c>
      <c r="T136" s="64" t="n">
        <f aca="false">N136+M136-Q136-R136-S136</f>
        <v>-101942.798893768</v>
      </c>
      <c r="U136" s="64" t="n">
        <f aca="false">W135</f>
        <v>260422.420657149</v>
      </c>
      <c r="V136" s="64" t="n">
        <f aca="false">MIN(U136+I136,MAX(T136,0))</f>
        <v>0</v>
      </c>
      <c r="W136" s="64" t="n">
        <f aca="false">U136+I136-V136</f>
        <v>260422.420657149</v>
      </c>
      <c r="X136" s="64" t="n">
        <f aca="false">K136+L136+V136+IF(E136,H136-I136-K136-L136,0)</f>
        <v>0</v>
      </c>
      <c r="Y136" s="61" t="b">
        <f aca="false">AND(Inputs!$C$21=1,O136/Inputs!$C$10&lt;=Inputs!$C$22,Inputs!$G$14&lt;Inputs!$C$23,W136&lt;1)</f>
        <v>0</v>
      </c>
      <c r="Z136" s="61" t="b">
        <f aca="false">OR(AND(Inputs!$G$15=1,H136/Inputs!$C$17&lt;=Inputs!$C$24),AND(Inputs!$G$15=2,C136&gt;=Inputs!$G$16))</f>
        <v>0</v>
      </c>
      <c r="AA136" s="61" t="b">
        <f aca="false">OR(AA135,Z136)</f>
        <v>0</v>
      </c>
      <c r="AB136" s="61" t="b">
        <f aca="false">AND(Z136,NOT(AA135),D136,O136&gt;0)</f>
        <v>0</v>
      </c>
      <c r="AC136" s="63" t="n">
        <f aca="false">IF(AND(Y136,NOT(E136),O136+P136&gt;0),O136/(O136+P136),1)</f>
        <v>1</v>
      </c>
      <c r="AD136" s="64" t="n">
        <f aca="false">IF(AB136,O136,IF(D136,MIN(O136,IF(E136,AC136*X136+BF135,BE136*Inputs!$G$20)),0))</f>
        <v>0</v>
      </c>
      <c r="AE136" s="64" t="n">
        <f aca="false">IF(AB136,P136,IF(D136,MAX(MIN(P136,X136-MIN(O136,AC136*X136)),0),0))</f>
        <v>0</v>
      </c>
      <c r="AF136" s="64" t="n">
        <f aca="false">IF(OR(AB136,E136),0,MAX(H136-I136-K136-L136,0))</f>
        <v>0</v>
      </c>
      <c r="AG136" s="64" t="n">
        <f aca="false">IF(E136,0,O136-AD136)</f>
        <v>0</v>
      </c>
      <c r="AH136" s="64" t="n">
        <f aca="false">IF(OR(AB136,E136),0,P136-AE136)</f>
        <v>256983.980657201</v>
      </c>
      <c r="AI136" s="64" t="n">
        <f aca="false">IF(D136,R136+AD136,0)</f>
        <v>0</v>
      </c>
      <c r="AJ136" s="65" t="n">
        <f aca="false">(C136-Inputs!$G$6)/365</f>
        <v>31.4164383561644</v>
      </c>
      <c r="AK136" s="29" t="n">
        <f aca="false">AG136/Inputs!$C$10</f>
        <v>0</v>
      </c>
      <c r="AL136" s="5"/>
      <c r="AM136" s="66" t="n">
        <f aca="false">F136</f>
        <v>0.255555555555556</v>
      </c>
      <c r="AN136" s="5"/>
      <c r="AO136" s="5" t="n">
        <f aca="false">AO135+LN(1+($G136+AO$7)*$AM136)</f>
        <v>0.797607713332808</v>
      </c>
      <c r="AP136" s="5" t="n">
        <f aca="false">AP135+LN(1+($G136+AP$7)*$AM136)</f>
        <v>0.800772818217273</v>
      </c>
      <c r="AQ136" s="5" t="n">
        <f aca="false">AQ135+LN(1+($G136+AQ$7)*$AM136)</f>
        <v>0.902439914102283</v>
      </c>
      <c r="AR136" s="5" t="n">
        <f aca="false">AR135+LN(1+($G136+AR$7)*$AM136)</f>
        <v>0.90560238239674</v>
      </c>
      <c r="AS136" s="5" t="n">
        <f aca="false">AS135+LN(1+($G136+AS$7)*$AM136)</f>
        <v>0.903589472508734</v>
      </c>
      <c r="AT136" s="5" t="n">
        <f aca="false">AT135+LN(1+($G136+AT$7)*$AM136)</f>
        <v>0.906751911903338</v>
      </c>
      <c r="AU136" s="5" t="n">
        <f aca="false">AU135+LN(1+($G136+AU$7)*$AM136)</f>
        <v>0.90358922706708</v>
      </c>
      <c r="AV136" s="5" t="n">
        <f aca="false">AV135+LN(1+($G136+AV$7)*$AM136)</f>
        <v>0.906751666467853</v>
      </c>
      <c r="AW136" s="5" t="n">
        <f aca="false">AW135+LN(1+($G136+AW$7)*$AM136)</f>
        <v>0.903589227149394</v>
      </c>
      <c r="AX136" s="5" t="n">
        <f aca="false">AX135+LN(1+($G136+AX$7)*$AM136)</f>
        <v>0.906751666550171</v>
      </c>
      <c r="AY136" s="5" t="n">
        <f aca="false">AY135+LN(1+($G136+AY$7)*$AM136)</f>
        <v>0.903589227149378</v>
      </c>
      <c r="AZ136" s="5" t="n">
        <f aca="false">AZ135+LN(1+($G136+AZ$7)*$AM136)</f>
        <v>0.906751666550143</v>
      </c>
      <c r="BA136" s="5" t="n">
        <f aca="false">BA135+LN(1+($G136+BA$7)*$AM136)</f>
        <v>0.903589227149378</v>
      </c>
      <c r="BB136" s="5" t="n">
        <f aca="false">BB135+LN(1+($G136+BB$7)*$AM136)</f>
        <v>0.906751666550143</v>
      </c>
      <c r="BC136" s="5" t="n">
        <f aca="false">BC135+LN(1+($G136+BC$7)*$AM136)</f>
        <v>0.903589227149378</v>
      </c>
      <c r="BD136" s="5" t="n">
        <f aca="false">BD135+LN(1+($G136+BD$7)*$AM136)</f>
        <v>0.906751666550143</v>
      </c>
      <c r="BE136" s="5" t="n">
        <f aca="false">IF(AB136,O136,IF(D136,MIN(O136,AC136*X136+BF135),0))</f>
        <v>0</v>
      </c>
      <c r="BF136" s="5" t="n">
        <f aca="false">IF(OR(AB136,E136),0,BE136-AD136)</f>
        <v>0</v>
      </c>
      <c r="BG136" s="5" t="n">
        <f aca="false">BG135+LN(1+($G136+BG$7)*$AM136)</f>
        <v>0.871960459638538</v>
      </c>
      <c r="BH136" s="5"/>
      <c r="BI136" s="5" t="n">
        <f aca="false">BI135+LN(1+($G136+BI$7)*$AM136)</f>
        <v>0.935210044036923</v>
      </c>
      <c r="BJ136" s="5"/>
      <c r="BK136" s="62" t="n">
        <f aca="false">C136</f>
        <v>57756</v>
      </c>
      <c r="BL136" s="67" t="n">
        <f aca="false">AI136</f>
        <v>0</v>
      </c>
    </row>
    <row r="137" customFormat="false" ht="15" hidden="false" customHeight="true" outlineLevel="0" collapsed="false">
      <c r="A137" s="3" t="n">
        <v>127</v>
      </c>
      <c r="B137" s="38" t="n">
        <f aca="false">EDATE(Inputs!$C$8,3*(A137-1))</f>
        <v>57845</v>
      </c>
      <c r="C137" s="38" t="n">
        <f aca="false">WORKDAY(B137-1,1)</f>
        <v>57845</v>
      </c>
      <c r="D137" s="61" t="b">
        <f aca="false">C137&lt;=Inputs!$C$9</f>
        <v>1</v>
      </c>
      <c r="E137" s="61" t="b">
        <f aca="false">AND(D137,NOT(D138))</f>
        <v>1</v>
      </c>
      <c r="F137" s="63" t="n">
        <f aca="false">(C137-C136)/360</f>
        <v>0.247222222222222</v>
      </c>
      <c r="G137" s="57" t="n">
        <f aca="false">Curve!D130</f>
        <v>0.02252</v>
      </c>
      <c r="H137" s="64" t="n">
        <f aca="false">AF136</f>
        <v>0</v>
      </c>
      <c r="I137" s="64" t="n">
        <f aca="false">IF(D137,H137*Inputs!$G$22,0)</f>
        <v>0</v>
      </c>
      <c r="J137" s="32" t="n">
        <f aca="false">MAX(Inputs!$G$24-(A137-1),1)</f>
        <v>1</v>
      </c>
      <c r="K137" s="64" t="n">
        <f aca="false">IF(D137,MIN(H137-I137,IF(J137&gt;1,(H137-I137)*Inputs!$G$23/((1+Inputs!$G$23)^J137-1),H137-I137)),0)</f>
        <v>0</v>
      </c>
      <c r="L137" s="64" t="n">
        <f aca="false">IF(D137,(H137-I137-K137)*Inputs!$G$21,0)</f>
        <v>0</v>
      </c>
      <c r="M137" s="64" t="n">
        <f aca="false">IF(A137&gt;Inputs!$G$13,(1-Inputs!$G$12)*INDEX($I$11:$I$190,A137-Inputs!$G$13),0)</f>
        <v>0</v>
      </c>
      <c r="N137" s="64" t="n">
        <f aca="false">IF(D137,(H137-I137)*Inputs!$G$23,0)</f>
        <v>0</v>
      </c>
      <c r="O137" s="64" t="n">
        <f aca="false">AG136</f>
        <v>0</v>
      </c>
      <c r="P137" s="64" t="n">
        <f aca="false">AH136</f>
        <v>256983.980657201</v>
      </c>
      <c r="Q137" s="64" t="n">
        <f aca="false">IF(AND(D137,O137+P137&gt;0),Inputs!$C$25+Inputs!$C$26*H137/4,0)</f>
        <v>100000</v>
      </c>
      <c r="R137" s="64" t="n">
        <f aca="false">O137*IF(Inputs!$G$19="",G137+Inputs!$C$13,MAX(Inputs!$G$19,G137+Inputs!$C$13))*F137</f>
        <v>0</v>
      </c>
      <c r="S137" s="64" t="n">
        <f aca="false">P137*(G137+Inputs!$C$14)*F137</f>
        <v>1879.44675592817</v>
      </c>
      <c r="T137" s="64" t="n">
        <f aca="false">N137+M137-Q137-R137-S137</f>
        <v>-101879.446755928</v>
      </c>
      <c r="U137" s="64" t="n">
        <f aca="false">W136</f>
        <v>260422.420657149</v>
      </c>
      <c r="V137" s="64" t="n">
        <f aca="false">MIN(U137+I137,MAX(T137,0))</f>
        <v>0</v>
      </c>
      <c r="W137" s="64" t="n">
        <f aca="false">U137+I137-V137</f>
        <v>260422.420657149</v>
      </c>
      <c r="X137" s="64" t="n">
        <f aca="false">K137+L137+V137+IF(E137,H137-I137-K137-L137,0)</f>
        <v>0</v>
      </c>
      <c r="Y137" s="61" t="b">
        <f aca="false">AND(Inputs!$C$21=1,O137/Inputs!$C$10&lt;=Inputs!$C$22,Inputs!$G$14&lt;Inputs!$C$23,W137&lt;1)</f>
        <v>0</v>
      </c>
      <c r="Z137" s="61" t="b">
        <f aca="false">OR(AND(Inputs!$G$15=1,H137/Inputs!$C$17&lt;=Inputs!$C$24),AND(Inputs!$G$15=2,C137&gt;=Inputs!$G$16))</f>
        <v>0</v>
      </c>
      <c r="AA137" s="61" t="b">
        <f aca="false">OR(AA136,Z137)</f>
        <v>0</v>
      </c>
      <c r="AB137" s="61" t="b">
        <f aca="false">AND(Z137,NOT(AA136),D137,O137&gt;0)</f>
        <v>0</v>
      </c>
      <c r="AC137" s="63" t="n">
        <f aca="false">IF(AND(Y137,NOT(E137),O137+P137&gt;0),O137/(O137+P137),1)</f>
        <v>1</v>
      </c>
      <c r="AD137" s="64" t="n">
        <f aca="false">IF(AB137,O137,IF(D137,MIN(O137,IF(E137,AC137*X137+BF136,BE137*Inputs!$G$20)),0))</f>
        <v>0</v>
      </c>
      <c r="AE137" s="64" t="n">
        <f aca="false">IF(AB137,P137,IF(D137,MAX(MIN(P137,X137-MIN(O137,AC137*X137)),0),0))</f>
        <v>0</v>
      </c>
      <c r="AF137" s="64" t="n">
        <f aca="false">IF(OR(AB137,E137),0,MAX(H137-I137-K137-L137,0))</f>
        <v>0</v>
      </c>
      <c r="AG137" s="64" t="n">
        <f aca="false">IF(E137,0,O137-AD137)</f>
        <v>0</v>
      </c>
      <c r="AH137" s="64" t="n">
        <f aca="false">IF(OR(AB137,E137),0,P137-AE137)</f>
        <v>0</v>
      </c>
      <c r="AI137" s="64" t="n">
        <f aca="false">IF(D137,R137+AD137,0)</f>
        <v>0</v>
      </c>
      <c r="AJ137" s="65" t="n">
        <f aca="false">(C137-Inputs!$G$6)/365</f>
        <v>31.6602739726027</v>
      </c>
      <c r="AK137" s="29" t="n">
        <f aca="false">AG137/Inputs!$C$10</f>
        <v>0</v>
      </c>
      <c r="AL137" s="5"/>
      <c r="AM137" s="66" t="n">
        <f aca="false">F137</f>
        <v>0.247222222222222</v>
      </c>
      <c r="AN137" s="5"/>
      <c r="AO137" s="5" t="n">
        <f aca="false">AO136+LN(1+($G137+AO$7)*$AM137)</f>
        <v>0.80379873159125</v>
      </c>
      <c r="AP137" s="5" t="n">
        <f aca="false">AP136+LN(1+($G137+AP$7)*$AM137)</f>
        <v>0.806988405813189</v>
      </c>
      <c r="AQ137" s="5" t="n">
        <f aca="false">AQ136+LN(1+($G137+AQ$7)*$AM137)</f>
        <v>0.909444707037152</v>
      </c>
      <c r="AR137" s="5" t="n">
        <f aca="false">AR136+LN(1+($G137+AR$7)*$AM137)</f>
        <v>0.912631724683556</v>
      </c>
      <c r="AS137" s="5" t="n">
        <f aca="false">AS136+LN(1+($G137+AS$7)*$AM137)</f>
        <v>0.910603189140529</v>
      </c>
      <c r="AT137" s="5" t="n">
        <f aca="false">AT136+LN(1+($G137+AT$7)*$AM137)</f>
        <v>0.913790177668012</v>
      </c>
      <c r="AU137" s="5" t="n">
        <f aca="false">AU136+LN(1+($G137+AU$7)*$AM137)</f>
        <v>0.91060294179358</v>
      </c>
      <c r="AV137" s="5" t="n">
        <f aca="false">AV136+LN(1+($G137+AV$7)*$AM137)</f>
        <v>0.91378993032728</v>
      </c>
      <c r="AW137" s="5" t="n">
        <f aca="false">AW136+LN(1+($G137+AW$7)*$AM137)</f>
        <v>0.910602941876533</v>
      </c>
      <c r="AX137" s="5" t="n">
        <f aca="false">AX136+LN(1+($G137+AX$7)*$AM137)</f>
        <v>0.913789930410237</v>
      </c>
      <c r="AY137" s="5" t="n">
        <f aca="false">AY136+LN(1+($G137+AY$7)*$AM137)</f>
        <v>0.910602941876517</v>
      </c>
      <c r="AZ137" s="5" t="n">
        <f aca="false">AZ136+LN(1+($G137+AZ$7)*$AM137)</f>
        <v>0.913789930410209</v>
      </c>
      <c r="BA137" s="5" t="n">
        <f aca="false">BA136+LN(1+($G137+BA$7)*$AM137)</f>
        <v>0.910602941876517</v>
      </c>
      <c r="BB137" s="5" t="n">
        <f aca="false">BB136+LN(1+($G137+BB$7)*$AM137)</f>
        <v>0.913789930410209</v>
      </c>
      <c r="BC137" s="5" t="n">
        <f aca="false">BC136+LN(1+($G137+BC$7)*$AM137)</f>
        <v>0.910602941876517</v>
      </c>
      <c r="BD137" s="5" t="n">
        <f aca="false">BD136+LN(1+($G137+BD$7)*$AM137)</f>
        <v>0.913789930410209</v>
      </c>
      <c r="BE137" s="5" t="n">
        <f aca="false">IF(AB137,O137,IF(D137,MIN(O137,AC137*X137+BF136),0))</f>
        <v>0</v>
      </c>
      <c r="BF137" s="5" t="n">
        <f aca="false">IF(OR(AB137,E137),0,BE137-AD137)</f>
        <v>0</v>
      </c>
      <c r="BG137" s="5" t="n">
        <f aca="false">BG136+LN(1+($G137+BG$7)*$AM137)</f>
        <v>0.878728649884416</v>
      </c>
      <c r="BH137" s="5"/>
      <c r="BI137" s="5" t="n">
        <f aca="false">BI136+LN(1+($G137+BI$7)*$AM137)</f>
        <v>0.942469222977849</v>
      </c>
      <c r="BJ137" s="5"/>
      <c r="BK137" s="62" t="n">
        <f aca="false">C137</f>
        <v>57845</v>
      </c>
      <c r="BL137" s="67" t="n">
        <f aca="false">AI137</f>
        <v>0</v>
      </c>
    </row>
    <row r="138" customFormat="false" ht="15" hidden="false" customHeight="true" outlineLevel="0" collapsed="false">
      <c r="A138" s="3" t="n">
        <v>128</v>
      </c>
      <c r="B138" s="38" t="n">
        <f aca="false">EDATE(Inputs!$C$8,3*(A138-1))</f>
        <v>57937</v>
      </c>
      <c r="C138" s="38" t="n">
        <f aca="false">WORKDAY(B138-1,1)</f>
        <v>57937</v>
      </c>
      <c r="D138" s="61" t="b">
        <f aca="false">C138&lt;=Inputs!$C$9</f>
        <v>0</v>
      </c>
      <c r="E138" s="61" t="b">
        <f aca="false">AND(D138,NOT(D139))</f>
        <v>0</v>
      </c>
      <c r="F138" s="63" t="n">
        <f aca="false">(C138-C137)/360</f>
        <v>0.255555555555556</v>
      </c>
      <c r="G138" s="57" t="n">
        <f aca="false">Curve!D131</f>
        <v>0.02252</v>
      </c>
      <c r="H138" s="64" t="n">
        <f aca="false">AF137</f>
        <v>0</v>
      </c>
      <c r="I138" s="64" t="n">
        <f aca="false">IF(D138,H138*Inputs!$G$22,0)</f>
        <v>0</v>
      </c>
      <c r="J138" s="32" t="n">
        <f aca="false">MAX(Inputs!$G$24-(A138-1),1)</f>
        <v>1</v>
      </c>
      <c r="K138" s="64" t="n">
        <f aca="false">IF(D138,MIN(H138-I138,IF(J138&gt;1,(H138-I138)*Inputs!$G$23/((1+Inputs!$G$23)^J138-1),H138-I138)),0)</f>
        <v>0</v>
      </c>
      <c r="L138" s="64" t="n">
        <f aca="false">IF(D138,(H138-I138-K138)*Inputs!$G$21,0)</f>
        <v>0</v>
      </c>
      <c r="M138" s="64" t="n">
        <f aca="false">IF(A138&gt;Inputs!$G$13,(1-Inputs!$G$12)*INDEX($I$11:$I$190,A138-Inputs!$G$13),0)</f>
        <v>0</v>
      </c>
      <c r="N138" s="64" t="n">
        <f aca="false">IF(D138,(H138-I138)*Inputs!$G$23,0)</f>
        <v>0</v>
      </c>
      <c r="O138" s="64" t="n">
        <f aca="false">AG137</f>
        <v>0</v>
      </c>
      <c r="P138" s="64" t="n">
        <f aca="false">AH137</f>
        <v>0</v>
      </c>
      <c r="Q138" s="64" t="n">
        <f aca="false">IF(AND(D138,O138+P138&gt;0),Inputs!$C$25+Inputs!$C$26*H138/4,0)</f>
        <v>0</v>
      </c>
      <c r="R138" s="64" t="n">
        <f aca="false">O138*IF(Inputs!$G$19="",G138+Inputs!$C$13,MAX(Inputs!$G$19,G138+Inputs!$C$13))*F138</f>
        <v>0</v>
      </c>
      <c r="S138" s="64" t="n">
        <f aca="false">P138*(G138+Inputs!$C$14)*F138</f>
        <v>0</v>
      </c>
      <c r="T138" s="64" t="n">
        <f aca="false">N138+M138-Q138-R138-S138</f>
        <v>0</v>
      </c>
      <c r="U138" s="64" t="n">
        <f aca="false">W137</f>
        <v>260422.420657149</v>
      </c>
      <c r="V138" s="64" t="n">
        <f aca="false">MIN(U138+I138,MAX(T138,0))</f>
        <v>0</v>
      </c>
      <c r="W138" s="64" t="n">
        <f aca="false">U138+I138-V138</f>
        <v>260422.420657149</v>
      </c>
      <c r="X138" s="64" t="n">
        <f aca="false">K138+L138+V138+IF(E138,H138-I138-K138-L138,0)</f>
        <v>0</v>
      </c>
      <c r="Y138" s="61" t="b">
        <f aca="false">AND(Inputs!$C$21=1,O138/Inputs!$C$10&lt;=Inputs!$C$22,Inputs!$G$14&lt;Inputs!$C$23,W138&lt;1)</f>
        <v>0</v>
      </c>
      <c r="Z138" s="61" t="b">
        <f aca="false">OR(AND(Inputs!$G$15=1,H138/Inputs!$C$17&lt;=Inputs!$C$24),AND(Inputs!$G$15=2,C138&gt;=Inputs!$G$16))</f>
        <v>0</v>
      </c>
      <c r="AA138" s="61" t="b">
        <f aca="false">OR(AA137,Z138)</f>
        <v>0</v>
      </c>
      <c r="AB138" s="61" t="b">
        <f aca="false">AND(Z138,NOT(AA137),D138,O138&gt;0)</f>
        <v>0</v>
      </c>
      <c r="AC138" s="63" t="n">
        <f aca="false">IF(AND(Y138,NOT(E138),O138+P138&gt;0),O138/(O138+P138),1)</f>
        <v>1</v>
      </c>
      <c r="AD138" s="64" t="n">
        <f aca="false">IF(AB138,O138,IF(D138,MIN(O138,IF(E138,AC138*X138+BF137,BE138*Inputs!$G$20)),0))</f>
        <v>0</v>
      </c>
      <c r="AE138" s="64" t="n">
        <f aca="false">IF(AB138,P138,IF(D138,MAX(MIN(P138,X138-MIN(O138,AC138*X138)),0),0))</f>
        <v>0</v>
      </c>
      <c r="AF138" s="64" t="n">
        <f aca="false">IF(OR(AB138,E138),0,MAX(H138-I138-K138-L138,0))</f>
        <v>0</v>
      </c>
      <c r="AG138" s="64" t="n">
        <f aca="false">IF(E138,0,O138-AD138)</f>
        <v>0</v>
      </c>
      <c r="AH138" s="64" t="n">
        <f aca="false">IF(OR(AB138,E138),0,P138-AE138)</f>
        <v>0</v>
      </c>
      <c r="AI138" s="64" t="n">
        <f aca="false">IF(D138,R138+AD138,0)</f>
        <v>0</v>
      </c>
      <c r="AJ138" s="65" t="n">
        <f aca="false">(C138-Inputs!$G$6)/365</f>
        <v>31.9123287671233</v>
      </c>
      <c r="AK138" s="29" t="n">
        <f aca="false">AG138/Inputs!$C$10</f>
        <v>0</v>
      </c>
      <c r="AL138" s="5"/>
      <c r="AM138" s="66" t="n">
        <f aca="false">F138</f>
        <v>0.255555555555556</v>
      </c>
      <c r="AN138" s="5"/>
      <c r="AO138" s="5" t="n">
        <f aca="false">AO137+LN(1+($G138+AO$7)*$AM138)</f>
        <v>0.810197769562408</v>
      </c>
      <c r="AP138" s="5" t="n">
        <f aca="false">AP137+LN(1+($G138+AP$7)*$AM138)</f>
        <v>0.813412836008652</v>
      </c>
      <c r="AQ138" s="5" t="n">
        <f aca="false">AQ137+LN(1+($G138+AQ$7)*$AM138)</f>
        <v>0.916684763864633</v>
      </c>
      <c r="AR138" s="5" t="n">
        <f aca="false">AR137+LN(1+($G138+AR$7)*$AM138)</f>
        <v>0.919897152389252</v>
      </c>
      <c r="AS138" s="5" t="n">
        <f aca="false">AS137+LN(1+($G138+AS$7)*$AM138)</f>
        <v>0.917852468292395</v>
      </c>
      <c r="AT138" s="5" t="n">
        <f aca="false">AT137+LN(1+($G138+AT$7)*$AM138)</f>
        <v>0.921064827464119</v>
      </c>
      <c r="AU138" s="5" t="n">
        <f aca="false">AU137+LN(1+($G138+AU$7)*$AM138)</f>
        <v>0.917852218976393</v>
      </c>
      <c r="AV138" s="5" t="n">
        <f aca="false">AV137+LN(1+($G138+AV$7)*$AM138)</f>
        <v>0.921064578154383</v>
      </c>
      <c r="AW138" s="5" t="n">
        <f aca="false">AW137+LN(1+($G138+AW$7)*$AM138)</f>
        <v>0.917852219060005</v>
      </c>
      <c r="AX138" s="5" t="n">
        <f aca="false">AX137+LN(1+($G138+AX$7)*$AM138)</f>
        <v>0.921064578238</v>
      </c>
      <c r="AY138" s="5" t="n">
        <f aca="false">AY137+LN(1+($G138+AY$7)*$AM138)</f>
        <v>0.917852219059989</v>
      </c>
      <c r="AZ138" s="5" t="n">
        <f aca="false">AZ137+LN(1+($G138+AZ$7)*$AM138)</f>
        <v>0.921064578237972</v>
      </c>
      <c r="BA138" s="5" t="n">
        <f aca="false">BA137+LN(1+($G138+BA$7)*$AM138)</f>
        <v>0.917852219059989</v>
      </c>
      <c r="BB138" s="5" t="n">
        <f aca="false">BB137+LN(1+($G138+BB$7)*$AM138)</f>
        <v>0.921064578237972</v>
      </c>
      <c r="BC138" s="5" t="n">
        <f aca="false">BC137+LN(1+($G138+BC$7)*$AM138)</f>
        <v>0.917852219059989</v>
      </c>
      <c r="BD138" s="5" t="n">
        <f aca="false">BD137+LN(1+($G138+BD$7)*$AM138)</f>
        <v>0.921064578237972</v>
      </c>
      <c r="BE138" s="5" t="n">
        <f aca="false">IF(AB138,O138,IF(D138,MIN(O138,AC138*X138+BF137),0))</f>
        <v>0</v>
      </c>
      <c r="BF138" s="5" t="n">
        <f aca="false">IF(OR(AB138,E138),0,BE138-AD138)</f>
        <v>0</v>
      </c>
      <c r="BG138" s="5" t="n">
        <f aca="false">BG137+LN(1+($G138+BG$7)*$AM138)</f>
        <v>0.885724185216867</v>
      </c>
      <c r="BH138" s="5"/>
      <c r="BI138" s="5" t="n">
        <f aca="false">BI137+LN(1+($G138+BI$7)*$AM138)</f>
        <v>0.949972177643749</v>
      </c>
      <c r="BJ138" s="5"/>
      <c r="BK138" s="62" t="n">
        <f aca="false">C138</f>
        <v>57937</v>
      </c>
      <c r="BL138" s="67" t="n">
        <f aca="false">AI138</f>
        <v>0</v>
      </c>
    </row>
    <row r="139" customFormat="false" ht="15" hidden="false" customHeight="true" outlineLevel="0" collapsed="false">
      <c r="A139" s="3" t="n">
        <v>129</v>
      </c>
      <c r="B139" s="38" t="n">
        <f aca="false">EDATE(Inputs!$C$8,3*(A139-1))</f>
        <v>58029</v>
      </c>
      <c r="C139" s="38" t="n">
        <f aca="false">WORKDAY(B139-1,1)</f>
        <v>58029</v>
      </c>
      <c r="D139" s="61" t="b">
        <f aca="false">C139&lt;=Inputs!$C$9</f>
        <v>0</v>
      </c>
      <c r="E139" s="61" t="b">
        <f aca="false">AND(D139,NOT(D140))</f>
        <v>0</v>
      </c>
      <c r="F139" s="63" t="n">
        <f aca="false">(C139-C138)/360</f>
        <v>0.255555555555556</v>
      </c>
      <c r="G139" s="57" t="n">
        <f aca="false">Curve!D132</f>
        <v>0.02252</v>
      </c>
      <c r="H139" s="64" t="n">
        <f aca="false">AF138</f>
        <v>0</v>
      </c>
      <c r="I139" s="64" t="n">
        <f aca="false">IF(D139,H139*Inputs!$G$22,0)</f>
        <v>0</v>
      </c>
      <c r="J139" s="32" t="n">
        <f aca="false">MAX(Inputs!$G$24-(A139-1),1)</f>
        <v>1</v>
      </c>
      <c r="K139" s="64" t="n">
        <f aca="false">IF(D139,MIN(H139-I139,IF(J139&gt;1,(H139-I139)*Inputs!$G$23/((1+Inputs!$G$23)^J139-1),H139-I139)),0)</f>
        <v>0</v>
      </c>
      <c r="L139" s="64" t="n">
        <f aca="false">IF(D139,(H139-I139-K139)*Inputs!$G$21,0)</f>
        <v>0</v>
      </c>
      <c r="M139" s="64" t="n">
        <f aca="false">IF(A139&gt;Inputs!$G$13,(1-Inputs!$G$12)*INDEX($I$11:$I$190,A139-Inputs!$G$13),0)</f>
        <v>0</v>
      </c>
      <c r="N139" s="64" t="n">
        <f aca="false">IF(D139,(H139-I139)*Inputs!$G$23,0)</f>
        <v>0</v>
      </c>
      <c r="O139" s="64" t="n">
        <f aca="false">AG138</f>
        <v>0</v>
      </c>
      <c r="P139" s="64" t="n">
        <f aca="false">AH138</f>
        <v>0</v>
      </c>
      <c r="Q139" s="64" t="n">
        <f aca="false">IF(AND(D139,O139+P139&gt;0),Inputs!$C$25+Inputs!$C$26*H139/4,0)</f>
        <v>0</v>
      </c>
      <c r="R139" s="64" t="n">
        <f aca="false">O139*IF(Inputs!$G$19="",G139+Inputs!$C$13,MAX(Inputs!$G$19,G139+Inputs!$C$13))*F139</f>
        <v>0</v>
      </c>
      <c r="S139" s="64" t="n">
        <f aca="false">P139*(G139+Inputs!$C$14)*F139</f>
        <v>0</v>
      </c>
      <c r="T139" s="64" t="n">
        <f aca="false">N139+M139-Q139-R139-S139</f>
        <v>0</v>
      </c>
      <c r="U139" s="64" t="n">
        <f aca="false">W138</f>
        <v>260422.420657149</v>
      </c>
      <c r="V139" s="64" t="n">
        <f aca="false">MIN(U139+I139,MAX(T139,0))</f>
        <v>0</v>
      </c>
      <c r="W139" s="64" t="n">
        <f aca="false">U139+I139-V139</f>
        <v>260422.420657149</v>
      </c>
      <c r="X139" s="64" t="n">
        <f aca="false">K139+L139+V139+IF(E139,H139-I139-K139-L139,0)</f>
        <v>0</v>
      </c>
      <c r="Y139" s="61" t="b">
        <f aca="false">AND(Inputs!$C$21=1,O139/Inputs!$C$10&lt;=Inputs!$C$22,Inputs!$G$14&lt;Inputs!$C$23,W139&lt;1)</f>
        <v>0</v>
      </c>
      <c r="Z139" s="61" t="b">
        <f aca="false">OR(AND(Inputs!$G$15=1,H139/Inputs!$C$17&lt;=Inputs!$C$24),AND(Inputs!$G$15=2,C139&gt;=Inputs!$G$16))</f>
        <v>0</v>
      </c>
      <c r="AA139" s="61" t="b">
        <f aca="false">OR(AA138,Z139)</f>
        <v>0</v>
      </c>
      <c r="AB139" s="61" t="b">
        <f aca="false">AND(Z139,NOT(AA138),D139,O139&gt;0)</f>
        <v>0</v>
      </c>
      <c r="AC139" s="63" t="n">
        <f aca="false">IF(AND(Y139,NOT(E139),O139+P139&gt;0),O139/(O139+P139),1)</f>
        <v>1</v>
      </c>
      <c r="AD139" s="64" t="n">
        <f aca="false">IF(AB139,O139,IF(D139,MIN(O139,IF(E139,AC139*X139+BF138,BE139*Inputs!$G$20)),0))</f>
        <v>0</v>
      </c>
      <c r="AE139" s="64" t="n">
        <f aca="false">IF(AB139,P139,IF(D139,MAX(MIN(P139,X139-MIN(O139,AC139*X139)),0),0))</f>
        <v>0</v>
      </c>
      <c r="AF139" s="64" t="n">
        <f aca="false">IF(OR(AB139,E139),0,MAX(H139-I139-K139-L139,0))</f>
        <v>0</v>
      </c>
      <c r="AG139" s="64" t="n">
        <f aca="false">IF(E139,0,O139-AD139)</f>
        <v>0</v>
      </c>
      <c r="AH139" s="64" t="n">
        <f aca="false">IF(OR(AB139,E139),0,P139-AE139)</f>
        <v>0</v>
      </c>
      <c r="AI139" s="64" t="n">
        <f aca="false">IF(D139,R139+AD139,0)</f>
        <v>0</v>
      </c>
      <c r="AJ139" s="65" t="n">
        <f aca="false">(C139-Inputs!$G$6)/365</f>
        <v>32.1643835616438</v>
      </c>
      <c r="AK139" s="29" t="n">
        <f aca="false">AG139/Inputs!$C$10</f>
        <v>0</v>
      </c>
      <c r="AL139" s="5"/>
      <c r="AM139" s="66" t="n">
        <f aca="false">F139</f>
        <v>0.255555555555556</v>
      </c>
      <c r="AN139" s="5"/>
      <c r="AO139" s="5" t="n">
        <f aca="false">AO138+LN(1+($G139+AO$7)*$AM139)</f>
        <v>0.816596807533565</v>
      </c>
      <c r="AP139" s="5" t="n">
        <f aca="false">AP138+LN(1+($G139+AP$7)*$AM139)</f>
        <v>0.819837266204116</v>
      </c>
      <c r="AQ139" s="5" t="n">
        <f aca="false">AQ138+LN(1+($G139+AQ$7)*$AM139)</f>
        <v>0.923924820692114</v>
      </c>
      <c r="AR139" s="5" t="n">
        <f aca="false">AR138+LN(1+($G139+AR$7)*$AM139)</f>
        <v>0.927162580094948</v>
      </c>
      <c r="AS139" s="5" t="n">
        <f aca="false">AS138+LN(1+($G139+AS$7)*$AM139)</f>
        <v>0.925101747444261</v>
      </c>
      <c r="AT139" s="5" t="n">
        <f aca="false">AT138+LN(1+($G139+AT$7)*$AM139)</f>
        <v>0.928339477260226</v>
      </c>
      <c r="AU139" s="5" t="n">
        <f aca="false">AU138+LN(1+($G139+AU$7)*$AM139)</f>
        <v>0.925101496159205</v>
      </c>
      <c r="AV139" s="5" t="n">
        <f aca="false">AV138+LN(1+($G139+AV$7)*$AM139)</f>
        <v>0.928339225981486</v>
      </c>
      <c r="AW139" s="5" t="n">
        <f aca="false">AW138+LN(1+($G139+AW$7)*$AM139)</f>
        <v>0.925101496243478</v>
      </c>
      <c r="AX139" s="5" t="n">
        <f aca="false">AX138+LN(1+($G139+AX$7)*$AM139)</f>
        <v>0.928339226065764</v>
      </c>
      <c r="AY139" s="5" t="n">
        <f aca="false">AY138+LN(1+($G139+AY$7)*$AM139)</f>
        <v>0.925101496243462</v>
      </c>
      <c r="AZ139" s="5" t="n">
        <f aca="false">AZ138+LN(1+($G139+AZ$7)*$AM139)</f>
        <v>0.928339226065735</v>
      </c>
      <c r="BA139" s="5" t="n">
        <f aca="false">BA138+LN(1+($G139+BA$7)*$AM139)</f>
        <v>0.925101496243462</v>
      </c>
      <c r="BB139" s="5" t="n">
        <f aca="false">BB138+LN(1+($G139+BB$7)*$AM139)</f>
        <v>0.928339226065735</v>
      </c>
      <c r="BC139" s="5" t="n">
        <f aca="false">BC138+LN(1+($G139+BC$7)*$AM139)</f>
        <v>0.925101496243462</v>
      </c>
      <c r="BD139" s="5" t="n">
        <f aca="false">BD138+LN(1+($G139+BD$7)*$AM139)</f>
        <v>0.928339226065735</v>
      </c>
      <c r="BE139" s="5" t="n">
        <f aca="false">IF(AB139,O139,IF(D139,MIN(O139,AC139*X139+BF138),0))</f>
        <v>0</v>
      </c>
      <c r="BF139" s="5" t="n">
        <f aca="false">IF(OR(AB139,E139),0,BE139-AD139)</f>
        <v>0</v>
      </c>
      <c r="BG139" s="5" t="n">
        <f aca="false">BG138+LN(1+($G139+BG$7)*$AM139)</f>
        <v>0.892719720549317</v>
      </c>
      <c r="BH139" s="5"/>
      <c r="BI139" s="5" t="n">
        <f aca="false">BI138+LN(1+($G139+BI$7)*$AM139)</f>
        <v>0.957475132309649</v>
      </c>
      <c r="BJ139" s="5"/>
      <c r="BK139" s="62" t="n">
        <f aca="false">C139</f>
        <v>58029</v>
      </c>
      <c r="BL139" s="67" t="n">
        <f aca="false">AI139</f>
        <v>0</v>
      </c>
    </row>
    <row r="140" customFormat="false" ht="15" hidden="false" customHeight="true" outlineLevel="0" collapsed="false">
      <c r="A140" s="3" t="n">
        <v>130</v>
      </c>
      <c r="B140" s="38" t="n">
        <f aca="false">EDATE(Inputs!$C$8,3*(A140-1))</f>
        <v>58121</v>
      </c>
      <c r="C140" s="38" t="n">
        <f aca="false">WORKDAY(B140-1,1)</f>
        <v>58123</v>
      </c>
      <c r="D140" s="61" t="b">
        <f aca="false">C140&lt;=Inputs!$C$9</f>
        <v>0</v>
      </c>
      <c r="E140" s="61" t="b">
        <f aca="false">AND(D140,NOT(D141))</f>
        <v>0</v>
      </c>
      <c r="F140" s="63" t="n">
        <f aca="false">(C140-C139)/360</f>
        <v>0.261111111111111</v>
      </c>
      <c r="G140" s="57" t="n">
        <f aca="false">Curve!D133</f>
        <v>0.02252</v>
      </c>
      <c r="H140" s="64" t="n">
        <f aca="false">AF139</f>
        <v>0</v>
      </c>
      <c r="I140" s="64" t="n">
        <f aca="false">IF(D140,H140*Inputs!$G$22,0)</f>
        <v>0</v>
      </c>
      <c r="J140" s="32" t="n">
        <f aca="false">MAX(Inputs!$G$24-(A140-1),1)</f>
        <v>1</v>
      </c>
      <c r="K140" s="64" t="n">
        <f aca="false">IF(D140,MIN(H140-I140,IF(J140&gt;1,(H140-I140)*Inputs!$G$23/((1+Inputs!$G$23)^J140-1),H140-I140)),0)</f>
        <v>0</v>
      </c>
      <c r="L140" s="64" t="n">
        <f aca="false">IF(D140,(H140-I140-K140)*Inputs!$G$21,0)</f>
        <v>0</v>
      </c>
      <c r="M140" s="64" t="n">
        <f aca="false">IF(A140&gt;Inputs!$G$13,(1-Inputs!$G$12)*INDEX($I$11:$I$190,A140-Inputs!$G$13),0)</f>
        <v>0</v>
      </c>
      <c r="N140" s="64" t="n">
        <f aca="false">IF(D140,(H140-I140)*Inputs!$G$23,0)</f>
        <v>0</v>
      </c>
      <c r="O140" s="64" t="n">
        <f aca="false">AG139</f>
        <v>0</v>
      </c>
      <c r="P140" s="64" t="n">
        <f aca="false">AH139</f>
        <v>0</v>
      </c>
      <c r="Q140" s="64" t="n">
        <f aca="false">IF(AND(D140,O140+P140&gt;0),Inputs!$C$25+Inputs!$C$26*H140/4,0)</f>
        <v>0</v>
      </c>
      <c r="R140" s="64" t="n">
        <f aca="false">O140*IF(Inputs!$G$19="",G140+Inputs!$C$13,MAX(Inputs!$G$19,G140+Inputs!$C$13))*F140</f>
        <v>0</v>
      </c>
      <c r="S140" s="64" t="n">
        <f aca="false">P140*(G140+Inputs!$C$14)*F140</f>
        <v>0</v>
      </c>
      <c r="T140" s="64" t="n">
        <f aca="false">N140+M140-Q140-R140-S140</f>
        <v>0</v>
      </c>
      <c r="U140" s="64" t="n">
        <f aca="false">W139</f>
        <v>260422.420657149</v>
      </c>
      <c r="V140" s="64" t="n">
        <f aca="false">MIN(U140+I140,MAX(T140,0))</f>
        <v>0</v>
      </c>
      <c r="W140" s="64" t="n">
        <f aca="false">U140+I140-V140</f>
        <v>260422.420657149</v>
      </c>
      <c r="X140" s="64" t="n">
        <f aca="false">K140+L140+V140+IF(E140,H140-I140-K140-L140,0)</f>
        <v>0</v>
      </c>
      <c r="Y140" s="61" t="b">
        <f aca="false">AND(Inputs!$C$21=1,O140/Inputs!$C$10&lt;=Inputs!$C$22,Inputs!$G$14&lt;Inputs!$C$23,W140&lt;1)</f>
        <v>0</v>
      </c>
      <c r="Z140" s="61" t="b">
        <f aca="false">OR(AND(Inputs!$G$15=1,H140/Inputs!$C$17&lt;=Inputs!$C$24),AND(Inputs!$G$15=2,C140&gt;=Inputs!$G$16))</f>
        <v>0</v>
      </c>
      <c r="AA140" s="61" t="b">
        <f aca="false">OR(AA139,Z140)</f>
        <v>0</v>
      </c>
      <c r="AB140" s="61" t="b">
        <f aca="false">AND(Z140,NOT(AA139),D140,O140&gt;0)</f>
        <v>0</v>
      </c>
      <c r="AC140" s="63" t="n">
        <f aca="false">IF(AND(Y140,NOT(E140),O140+P140&gt;0),O140/(O140+P140),1)</f>
        <v>1</v>
      </c>
      <c r="AD140" s="64" t="n">
        <f aca="false">IF(AB140,O140,IF(D140,MIN(O140,IF(E140,AC140*X140+BF139,BE140*Inputs!$G$20)),0))</f>
        <v>0</v>
      </c>
      <c r="AE140" s="64" t="n">
        <f aca="false">IF(AB140,P140,IF(D140,MAX(MIN(P140,X140-MIN(O140,AC140*X140)),0),0))</f>
        <v>0</v>
      </c>
      <c r="AF140" s="64" t="n">
        <f aca="false">IF(OR(AB140,E140),0,MAX(H140-I140-K140-L140,0))</f>
        <v>0</v>
      </c>
      <c r="AG140" s="64" t="n">
        <f aca="false">IF(E140,0,O140-AD140)</f>
        <v>0</v>
      </c>
      <c r="AH140" s="64" t="n">
        <f aca="false">IF(OR(AB140,E140),0,P140-AE140)</f>
        <v>0</v>
      </c>
      <c r="AI140" s="64" t="n">
        <f aca="false">IF(D140,R140+AD140,0)</f>
        <v>0</v>
      </c>
      <c r="AJ140" s="65" t="n">
        <f aca="false">(C140-Inputs!$G$6)/365</f>
        <v>32.4219178082192</v>
      </c>
      <c r="AK140" s="29" t="n">
        <f aca="false">AG140/Inputs!$C$10</f>
        <v>0</v>
      </c>
      <c r="AL140" s="5"/>
      <c r="AM140" s="66" t="n">
        <f aca="false">F140</f>
        <v>0.261111111111111</v>
      </c>
      <c r="AN140" s="5"/>
      <c r="AO140" s="5" t="n">
        <f aca="false">AO139+LN(1+($G140+AO$7)*$AM140)</f>
        <v>0.823134501276977</v>
      </c>
      <c r="AP140" s="5" t="n">
        <f aca="false">AP139+LN(1+($G140+AP$7)*$AM140)</f>
        <v>0.82640090057253</v>
      </c>
      <c r="AQ140" s="5" t="n">
        <f aca="false">AQ139+LN(1+($G140+AQ$7)*$AM140)</f>
        <v>0.931321689370795</v>
      </c>
      <c r="AR140" s="5" t="n">
        <f aca="false">AR139+LN(1+($G140+AR$7)*$AM140)</f>
        <v>0.934585367120956</v>
      </c>
      <c r="AS140" s="5" t="n">
        <f aca="false">AS139+LN(1+($G140+AS$7)*$AM140)</f>
        <v>0.932508037454211</v>
      </c>
      <c r="AT140" s="5" t="n">
        <f aca="false">AT139+LN(1+($G140+AT$7)*$AM140)</f>
        <v>0.935771685373322</v>
      </c>
      <c r="AU140" s="5" t="n">
        <f aca="false">AU139+LN(1+($G140+AU$7)*$AM140)</f>
        <v>0.932507784157611</v>
      </c>
      <c r="AV140" s="5" t="n">
        <f aca="false">AV139+LN(1+($G140+AV$7)*$AM140)</f>
        <v>0.93577143208309</v>
      </c>
      <c r="AW140" s="5" t="n">
        <f aca="false">AW139+LN(1+($G140+AW$7)*$AM140)</f>
        <v>0.932507784242558</v>
      </c>
      <c r="AX140" s="5" t="n">
        <f aca="false">AX139+LN(1+($G140+AX$7)*$AM140)</f>
        <v>0.935771432168043</v>
      </c>
      <c r="AY140" s="5" t="n">
        <f aca="false">AY139+LN(1+($G140+AY$7)*$AM140)</f>
        <v>0.932507784242542</v>
      </c>
      <c r="AZ140" s="5" t="n">
        <f aca="false">AZ139+LN(1+($G140+AZ$7)*$AM140)</f>
        <v>0.935771432168014</v>
      </c>
      <c r="BA140" s="5" t="n">
        <f aca="false">BA139+LN(1+($G140+BA$7)*$AM140)</f>
        <v>0.932507784242542</v>
      </c>
      <c r="BB140" s="5" t="n">
        <f aca="false">BB139+LN(1+($G140+BB$7)*$AM140)</f>
        <v>0.935771432168014</v>
      </c>
      <c r="BC140" s="5" t="n">
        <f aca="false">BC139+LN(1+($G140+BC$7)*$AM140)</f>
        <v>0.932507784242542</v>
      </c>
      <c r="BD140" s="5" t="n">
        <f aca="false">BD139+LN(1+($G140+BD$7)*$AM140)</f>
        <v>0.935771432168014</v>
      </c>
      <c r="BE140" s="5" t="n">
        <f aca="false">IF(AB140,O140,IF(D140,MIN(O140,AC140*X140+BF139),0))</f>
        <v>0</v>
      </c>
      <c r="BF140" s="5" t="n">
        <f aca="false">IF(OR(AB140,E140),0,BE140-AD140)</f>
        <v>0</v>
      </c>
      <c r="BG140" s="5" t="n">
        <f aca="false">BG139+LN(1+($G140+BG$7)*$AM140)</f>
        <v>0.899866790563566</v>
      </c>
      <c r="BH140" s="5"/>
      <c r="BI140" s="5" t="n">
        <f aca="false">BI139+LN(1+($G140+BI$7)*$AM140)</f>
        <v>0.96514057111701</v>
      </c>
      <c r="BJ140" s="5"/>
      <c r="BK140" s="62" t="n">
        <f aca="false">C140</f>
        <v>58123</v>
      </c>
      <c r="BL140" s="67" t="n">
        <f aca="false">AI140</f>
        <v>0</v>
      </c>
    </row>
    <row r="141" customFormat="false" ht="15" hidden="false" customHeight="true" outlineLevel="0" collapsed="false">
      <c r="A141" s="3" t="n">
        <v>131</v>
      </c>
      <c r="B141" s="38" t="n">
        <f aca="false">EDATE(Inputs!$C$8,3*(A141-1))</f>
        <v>58210</v>
      </c>
      <c r="C141" s="38" t="n">
        <f aca="false">WORKDAY(B141-1,1)</f>
        <v>58210</v>
      </c>
      <c r="D141" s="61" t="b">
        <f aca="false">C141&lt;=Inputs!$C$9</f>
        <v>0</v>
      </c>
      <c r="E141" s="61" t="b">
        <f aca="false">AND(D141,NOT(D142))</f>
        <v>0</v>
      </c>
      <c r="F141" s="63" t="n">
        <f aca="false">(C141-C140)/360</f>
        <v>0.241666666666667</v>
      </c>
      <c r="G141" s="57" t="n">
        <f aca="false">Curve!D134</f>
        <v>0.02252</v>
      </c>
      <c r="H141" s="64" t="n">
        <f aca="false">AF140</f>
        <v>0</v>
      </c>
      <c r="I141" s="64" t="n">
        <f aca="false">IF(D141,H141*Inputs!$G$22,0)</f>
        <v>0</v>
      </c>
      <c r="J141" s="32" t="n">
        <f aca="false">MAX(Inputs!$G$24-(A141-1),1)</f>
        <v>1</v>
      </c>
      <c r="K141" s="64" t="n">
        <f aca="false">IF(D141,MIN(H141-I141,IF(J141&gt;1,(H141-I141)*Inputs!$G$23/((1+Inputs!$G$23)^J141-1),H141-I141)),0)</f>
        <v>0</v>
      </c>
      <c r="L141" s="64" t="n">
        <f aca="false">IF(D141,(H141-I141-K141)*Inputs!$G$21,0)</f>
        <v>0</v>
      </c>
      <c r="M141" s="64" t="n">
        <f aca="false">IF(A141&gt;Inputs!$G$13,(1-Inputs!$G$12)*INDEX($I$11:$I$190,A141-Inputs!$G$13),0)</f>
        <v>0</v>
      </c>
      <c r="N141" s="64" t="n">
        <f aca="false">IF(D141,(H141-I141)*Inputs!$G$23,0)</f>
        <v>0</v>
      </c>
      <c r="O141" s="64" t="n">
        <f aca="false">AG140</f>
        <v>0</v>
      </c>
      <c r="P141" s="64" t="n">
        <f aca="false">AH140</f>
        <v>0</v>
      </c>
      <c r="Q141" s="64" t="n">
        <f aca="false">IF(AND(D141,O141+P141&gt;0),Inputs!$C$25+Inputs!$C$26*H141/4,0)</f>
        <v>0</v>
      </c>
      <c r="R141" s="64" t="n">
        <f aca="false">O141*IF(Inputs!$G$19="",G141+Inputs!$C$13,MAX(Inputs!$G$19,G141+Inputs!$C$13))*F141</f>
        <v>0</v>
      </c>
      <c r="S141" s="64" t="n">
        <f aca="false">P141*(G141+Inputs!$C$14)*F141</f>
        <v>0</v>
      </c>
      <c r="T141" s="64" t="n">
        <f aca="false">N141+M141-Q141-R141-S141</f>
        <v>0</v>
      </c>
      <c r="U141" s="64" t="n">
        <f aca="false">W140</f>
        <v>260422.420657149</v>
      </c>
      <c r="V141" s="64" t="n">
        <f aca="false">MIN(U141+I141,MAX(T141,0))</f>
        <v>0</v>
      </c>
      <c r="W141" s="64" t="n">
        <f aca="false">U141+I141-V141</f>
        <v>260422.420657149</v>
      </c>
      <c r="X141" s="64" t="n">
        <f aca="false">K141+L141+V141+IF(E141,H141-I141-K141-L141,0)</f>
        <v>0</v>
      </c>
      <c r="Y141" s="61" t="b">
        <f aca="false">AND(Inputs!$C$21=1,O141/Inputs!$C$10&lt;=Inputs!$C$22,Inputs!$G$14&lt;Inputs!$C$23,W141&lt;1)</f>
        <v>0</v>
      </c>
      <c r="Z141" s="61" t="b">
        <f aca="false">OR(AND(Inputs!$G$15=1,H141/Inputs!$C$17&lt;=Inputs!$C$24),AND(Inputs!$G$15=2,C141&gt;=Inputs!$G$16))</f>
        <v>0</v>
      </c>
      <c r="AA141" s="61" t="b">
        <f aca="false">OR(AA140,Z141)</f>
        <v>0</v>
      </c>
      <c r="AB141" s="61" t="b">
        <f aca="false">AND(Z141,NOT(AA140),D141,O141&gt;0)</f>
        <v>0</v>
      </c>
      <c r="AC141" s="63" t="n">
        <f aca="false">IF(AND(Y141,NOT(E141),O141+P141&gt;0),O141/(O141+P141),1)</f>
        <v>1</v>
      </c>
      <c r="AD141" s="64" t="n">
        <f aca="false">IF(AB141,O141,IF(D141,MIN(O141,IF(E141,AC141*X141+BF140,BE141*Inputs!$G$20)),0))</f>
        <v>0</v>
      </c>
      <c r="AE141" s="64" t="n">
        <f aca="false">IF(AB141,P141,IF(D141,MAX(MIN(P141,X141-MIN(O141,AC141*X141)),0),0))</f>
        <v>0</v>
      </c>
      <c r="AF141" s="64" t="n">
        <f aca="false">IF(OR(AB141,E141),0,MAX(H141-I141-K141-L141,0))</f>
        <v>0</v>
      </c>
      <c r="AG141" s="64" t="n">
        <f aca="false">IF(E141,0,O141-AD141)</f>
        <v>0</v>
      </c>
      <c r="AH141" s="64" t="n">
        <f aca="false">IF(OR(AB141,E141),0,P141-AE141)</f>
        <v>0</v>
      </c>
      <c r="AI141" s="64" t="n">
        <f aca="false">IF(D141,R141+AD141,0)</f>
        <v>0</v>
      </c>
      <c r="AJ141" s="65" t="n">
        <f aca="false">(C141-Inputs!$G$6)/365</f>
        <v>32.6602739726027</v>
      </c>
      <c r="AK141" s="29" t="n">
        <f aca="false">AG141/Inputs!$C$10</f>
        <v>0</v>
      </c>
      <c r="AL141" s="5"/>
      <c r="AM141" s="66" t="n">
        <f aca="false">F141</f>
        <v>0.241666666666667</v>
      </c>
      <c r="AN141" s="5"/>
      <c r="AO141" s="5" t="n">
        <f aca="false">AO140+LN(1+($G141+AO$7)*$AM141)</f>
        <v>0.82918681568294</v>
      </c>
      <c r="AP141" s="5" t="n">
        <f aca="false">AP140+LN(1+($G141+AP$7)*$AM141)</f>
        <v>0.832477235534125</v>
      </c>
      <c r="AQ141" s="5" t="n">
        <f aca="false">AQ140+LN(1+($G141+AQ$7)*$AM141)</f>
        <v>0.938169608955462</v>
      </c>
      <c r="AR141" s="5" t="n">
        <f aca="false">AR140+LN(1+($G141+AR$7)*$AM141)</f>
        <v>0.941457288158208</v>
      </c>
      <c r="AS141" s="5" t="n">
        <f aca="false">AS140+LN(1+($G141+AS$7)*$AM141)</f>
        <v>0.939364681572697</v>
      </c>
      <c r="AT141" s="5" t="n">
        <f aca="false">AT140+LN(1+($G141+AT$7)*$AM141)</f>
        <v>0.942652330734994</v>
      </c>
      <c r="AU141" s="5" t="n">
        <f aca="false">AU140+LN(1+($G141+AU$7)*$AM141)</f>
        <v>0.939364426413325</v>
      </c>
      <c r="AV141" s="5" t="n">
        <f aca="false">AV140+LN(1+($G141+AV$7)*$AM141)</f>
        <v>0.942652075582036</v>
      </c>
      <c r="AW141" s="5" t="n">
        <f aca="false">AW140+LN(1+($G141+AW$7)*$AM141)</f>
        <v>0.939364426498897</v>
      </c>
      <c r="AX141" s="5" t="n">
        <f aca="false">AX140+LN(1+($G141+AX$7)*$AM141)</f>
        <v>0.942652075667613</v>
      </c>
      <c r="AY141" s="5" t="n">
        <f aca="false">AY140+LN(1+($G141+AY$7)*$AM141)</f>
        <v>0.939364426498881</v>
      </c>
      <c r="AZ141" s="5" t="n">
        <f aca="false">AZ140+LN(1+($G141+AZ$7)*$AM141)</f>
        <v>0.942652075667584</v>
      </c>
      <c r="BA141" s="5" t="n">
        <f aca="false">BA140+LN(1+($G141+BA$7)*$AM141)</f>
        <v>0.939364426498881</v>
      </c>
      <c r="BB141" s="5" t="n">
        <f aca="false">BB140+LN(1+($G141+BB$7)*$AM141)</f>
        <v>0.942652075667584</v>
      </c>
      <c r="BC141" s="5" t="n">
        <f aca="false">BC140+LN(1+($G141+BC$7)*$AM141)</f>
        <v>0.939364426498881</v>
      </c>
      <c r="BD141" s="5" t="n">
        <f aca="false">BD140+LN(1+($G141+BD$7)*$AM141)</f>
        <v>0.942652075667584</v>
      </c>
      <c r="BE141" s="5" t="n">
        <f aca="false">IF(AB141,O141,IF(D141,MIN(O141,AC141*X141+BF140),0))</f>
        <v>0</v>
      </c>
      <c r="BF141" s="5" t="n">
        <f aca="false">IF(OR(AB141,E141),0,BE141-AD141)</f>
        <v>0</v>
      </c>
      <c r="BG141" s="5" t="n">
        <f aca="false">BG140+LN(1+($G141+BG$7)*$AM141)</f>
        <v>0.906483388698991</v>
      </c>
      <c r="BH141" s="5"/>
      <c r="BI141" s="5" t="n">
        <f aca="false">BI140+LN(1+($G141+BI$7)*$AM141)</f>
        <v>0.972237199886912</v>
      </c>
      <c r="BJ141" s="5"/>
      <c r="BK141" s="62" t="n">
        <f aca="false">C141</f>
        <v>58210</v>
      </c>
      <c r="BL141" s="67" t="n">
        <f aca="false">AI141</f>
        <v>0</v>
      </c>
    </row>
    <row r="142" customFormat="false" ht="15" hidden="false" customHeight="true" outlineLevel="0" collapsed="false">
      <c r="A142" s="3" t="n">
        <v>132</v>
      </c>
      <c r="B142" s="38" t="n">
        <f aca="false">EDATE(Inputs!$C$8,3*(A142-1))</f>
        <v>58302</v>
      </c>
      <c r="C142" s="38" t="n">
        <f aca="false">WORKDAY(B142-1,1)</f>
        <v>58302</v>
      </c>
      <c r="D142" s="61" t="b">
        <f aca="false">C142&lt;=Inputs!$C$9</f>
        <v>0</v>
      </c>
      <c r="E142" s="61" t="b">
        <f aca="false">AND(D142,NOT(D143))</f>
        <v>0</v>
      </c>
      <c r="F142" s="63" t="n">
        <f aca="false">(C142-C141)/360</f>
        <v>0.255555555555556</v>
      </c>
      <c r="G142" s="57" t="n">
        <f aca="false">Curve!D135</f>
        <v>0.02252</v>
      </c>
      <c r="H142" s="64" t="n">
        <f aca="false">AF141</f>
        <v>0</v>
      </c>
      <c r="I142" s="64" t="n">
        <f aca="false">IF(D142,H142*Inputs!$G$22,0)</f>
        <v>0</v>
      </c>
      <c r="J142" s="32" t="n">
        <f aca="false">MAX(Inputs!$G$24-(A142-1),1)</f>
        <v>1</v>
      </c>
      <c r="K142" s="64" t="n">
        <f aca="false">IF(D142,MIN(H142-I142,IF(J142&gt;1,(H142-I142)*Inputs!$G$23/((1+Inputs!$G$23)^J142-1),H142-I142)),0)</f>
        <v>0</v>
      </c>
      <c r="L142" s="64" t="n">
        <f aca="false">IF(D142,(H142-I142-K142)*Inputs!$G$21,0)</f>
        <v>0</v>
      </c>
      <c r="M142" s="64" t="n">
        <f aca="false">IF(A142&gt;Inputs!$G$13,(1-Inputs!$G$12)*INDEX($I$11:$I$190,A142-Inputs!$G$13),0)</f>
        <v>0</v>
      </c>
      <c r="N142" s="64" t="n">
        <f aca="false">IF(D142,(H142-I142)*Inputs!$G$23,0)</f>
        <v>0</v>
      </c>
      <c r="O142" s="64" t="n">
        <f aca="false">AG141</f>
        <v>0</v>
      </c>
      <c r="P142" s="64" t="n">
        <f aca="false">AH141</f>
        <v>0</v>
      </c>
      <c r="Q142" s="64" t="n">
        <f aca="false">IF(AND(D142,O142+P142&gt;0),Inputs!$C$25+Inputs!$C$26*H142/4,0)</f>
        <v>0</v>
      </c>
      <c r="R142" s="64" t="n">
        <f aca="false">O142*IF(Inputs!$G$19="",G142+Inputs!$C$13,MAX(Inputs!$G$19,G142+Inputs!$C$13))*F142</f>
        <v>0</v>
      </c>
      <c r="S142" s="64" t="n">
        <f aca="false">P142*(G142+Inputs!$C$14)*F142</f>
        <v>0</v>
      </c>
      <c r="T142" s="64" t="n">
        <f aca="false">N142+M142-Q142-R142-S142</f>
        <v>0</v>
      </c>
      <c r="U142" s="64" t="n">
        <f aca="false">W141</f>
        <v>260422.420657149</v>
      </c>
      <c r="V142" s="64" t="n">
        <f aca="false">MIN(U142+I142,MAX(T142,0))</f>
        <v>0</v>
      </c>
      <c r="W142" s="64" t="n">
        <f aca="false">U142+I142-V142</f>
        <v>260422.420657149</v>
      </c>
      <c r="X142" s="64" t="n">
        <f aca="false">K142+L142+V142+IF(E142,H142-I142-K142-L142,0)</f>
        <v>0</v>
      </c>
      <c r="Y142" s="61" t="b">
        <f aca="false">AND(Inputs!$C$21=1,O142/Inputs!$C$10&lt;=Inputs!$C$22,Inputs!$G$14&lt;Inputs!$C$23,W142&lt;1)</f>
        <v>0</v>
      </c>
      <c r="Z142" s="61" t="b">
        <f aca="false">OR(AND(Inputs!$G$15=1,H142/Inputs!$C$17&lt;=Inputs!$C$24),AND(Inputs!$G$15=2,C142&gt;=Inputs!$G$16))</f>
        <v>0</v>
      </c>
      <c r="AA142" s="61" t="b">
        <f aca="false">OR(AA141,Z142)</f>
        <v>0</v>
      </c>
      <c r="AB142" s="61" t="b">
        <f aca="false">AND(Z142,NOT(AA141),D142,O142&gt;0)</f>
        <v>0</v>
      </c>
      <c r="AC142" s="63" t="n">
        <f aca="false">IF(AND(Y142,NOT(E142),O142+P142&gt;0),O142/(O142+P142),1)</f>
        <v>1</v>
      </c>
      <c r="AD142" s="64" t="n">
        <f aca="false">IF(AB142,O142,IF(D142,MIN(O142,IF(E142,AC142*X142+BF141,BE142*Inputs!$G$20)),0))</f>
        <v>0</v>
      </c>
      <c r="AE142" s="64" t="n">
        <f aca="false">IF(AB142,P142,IF(D142,MAX(MIN(P142,X142-MIN(O142,AC142*X142)),0),0))</f>
        <v>0</v>
      </c>
      <c r="AF142" s="64" t="n">
        <f aca="false">IF(OR(AB142,E142),0,MAX(H142-I142-K142-L142,0))</f>
        <v>0</v>
      </c>
      <c r="AG142" s="64" t="n">
        <f aca="false">IF(E142,0,O142-AD142)</f>
        <v>0</v>
      </c>
      <c r="AH142" s="64" t="n">
        <f aca="false">IF(OR(AB142,E142),0,P142-AE142)</f>
        <v>0</v>
      </c>
      <c r="AI142" s="64" t="n">
        <f aca="false">IF(D142,R142+AD142,0)</f>
        <v>0</v>
      </c>
      <c r="AJ142" s="65" t="n">
        <f aca="false">(C142-Inputs!$G$6)/365</f>
        <v>32.9123287671233</v>
      </c>
      <c r="AK142" s="29" t="n">
        <f aca="false">AG142/Inputs!$C$10</f>
        <v>0</v>
      </c>
      <c r="AL142" s="5"/>
      <c r="AM142" s="66" t="n">
        <f aca="false">F142</f>
        <v>0.255555555555556</v>
      </c>
      <c r="AN142" s="5"/>
      <c r="AO142" s="5" t="n">
        <f aca="false">AO141+LN(1+($G142+AO$7)*$AM142)</f>
        <v>0.835585853654098</v>
      </c>
      <c r="AP142" s="5" t="n">
        <f aca="false">AP141+LN(1+($G142+AP$7)*$AM142)</f>
        <v>0.838901665729589</v>
      </c>
      <c r="AQ142" s="5" t="n">
        <f aca="false">AQ141+LN(1+($G142+AQ$7)*$AM142)</f>
        <v>0.945409665782943</v>
      </c>
      <c r="AR142" s="5" t="n">
        <f aca="false">AR141+LN(1+($G142+AR$7)*$AM142)</f>
        <v>0.948722715863903</v>
      </c>
      <c r="AS142" s="5" t="n">
        <f aca="false">AS141+LN(1+($G142+AS$7)*$AM142)</f>
        <v>0.946613960724563</v>
      </c>
      <c r="AT142" s="5" t="n">
        <f aca="false">AT141+LN(1+($G142+AT$7)*$AM142)</f>
        <v>0.949926980531101</v>
      </c>
      <c r="AU142" s="5" t="n">
        <f aca="false">AU141+LN(1+($G142+AU$7)*$AM142)</f>
        <v>0.946613703596138</v>
      </c>
      <c r="AV142" s="5" t="n">
        <f aca="false">AV141+LN(1+($G142+AV$7)*$AM142)</f>
        <v>0.949926723409138</v>
      </c>
      <c r="AW142" s="5" t="n">
        <f aca="false">AW141+LN(1+($G142+AW$7)*$AM142)</f>
        <v>0.94661370368237</v>
      </c>
      <c r="AX142" s="5" t="n">
        <f aca="false">AX141+LN(1+($G142+AX$7)*$AM142)</f>
        <v>0.949926723495376</v>
      </c>
      <c r="AY142" s="5" t="n">
        <f aca="false">AY141+LN(1+($G142+AY$7)*$AM142)</f>
        <v>0.946613703682354</v>
      </c>
      <c r="AZ142" s="5" t="n">
        <f aca="false">AZ141+LN(1+($G142+AZ$7)*$AM142)</f>
        <v>0.949926723495347</v>
      </c>
      <c r="BA142" s="5" t="n">
        <f aca="false">BA141+LN(1+($G142+BA$7)*$AM142)</f>
        <v>0.946613703682354</v>
      </c>
      <c r="BB142" s="5" t="n">
        <f aca="false">BB141+LN(1+($G142+BB$7)*$AM142)</f>
        <v>0.949926723495347</v>
      </c>
      <c r="BC142" s="5" t="n">
        <f aca="false">BC141+LN(1+($G142+BC$7)*$AM142)</f>
        <v>0.946613703682354</v>
      </c>
      <c r="BD142" s="5" t="n">
        <f aca="false">BD141+LN(1+($G142+BD$7)*$AM142)</f>
        <v>0.949926723495347</v>
      </c>
      <c r="BE142" s="5" t="n">
        <f aca="false">IF(AB142,O142,IF(D142,MIN(O142,AC142*X142+BF141),0))</f>
        <v>0</v>
      </c>
      <c r="BF142" s="5" t="n">
        <f aca="false">IF(OR(AB142,E142),0,BE142-AD142)</f>
        <v>0</v>
      </c>
      <c r="BG142" s="5" t="n">
        <f aca="false">BG141+LN(1+($G142+BG$7)*$AM142)</f>
        <v>0.913478924031441</v>
      </c>
      <c r="BH142" s="5"/>
      <c r="BI142" s="5" t="n">
        <f aca="false">BI141+LN(1+($G142+BI$7)*$AM142)</f>
        <v>0.979740154552812</v>
      </c>
      <c r="BJ142" s="5"/>
      <c r="BK142" s="62" t="n">
        <f aca="false">C142</f>
        <v>58302</v>
      </c>
      <c r="BL142" s="67" t="n">
        <f aca="false">AI142</f>
        <v>0</v>
      </c>
    </row>
    <row r="143" customFormat="false" ht="15" hidden="false" customHeight="true" outlineLevel="0" collapsed="false">
      <c r="A143" s="3" t="n">
        <v>133</v>
      </c>
      <c r="B143" s="38" t="n">
        <f aca="false">EDATE(Inputs!$C$8,3*(A143-1))</f>
        <v>58394</v>
      </c>
      <c r="C143" s="38" t="n">
        <f aca="false">WORKDAY(B143-1,1)</f>
        <v>58396</v>
      </c>
      <c r="D143" s="61" t="b">
        <f aca="false">C143&lt;=Inputs!$C$9</f>
        <v>0</v>
      </c>
      <c r="E143" s="61" t="b">
        <f aca="false">AND(D143,NOT(D144))</f>
        <v>0</v>
      </c>
      <c r="F143" s="63" t="n">
        <f aca="false">(C143-C142)/360</f>
        <v>0.261111111111111</v>
      </c>
      <c r="G143" s="57" t="n">
        <f aca="false">Curve!D136</f>
        <v>0.02252</v>
      </c>
      <c r="H143" s="64" t="n">
        <f aca="false">AF142</f>
        <v>0</v>
      </c>
      <c r="I143" s="64" t="n">
        <f aca="false">IF(D143,H143*Inputs!$G$22,0)</f>
        <v>0</v>
      </c>
      <c r="J143" s="32" t="n">
        <f aca="false">MAX(Inputs!$G$24-(A143-1),1)</f>
        <v>1</v>
      </c>
      <c r="K143" s="64" t="n">
        <f aca="false">IF(D143,MIN(H143-I143,IF(J143&gt;1,(H143-I143)*Inputs!$G$23/((1+Inputs!$G$23)^J143-1),H143-I143)),0)</f>
        <v>0</v>
      </c>
      <c r="L143" s="64" t="n">
        <f aca="false">IF(D143,(H143-I143-K143)*Inputs!$G$21,0)</f>
        <v>0</v>
      </c>
      <c r="M143" s="64" t="n">
        <f aca="false">IF(A143&gt;Inputs!$G$13,(1-Inputs!$G$12)*INDEX($I$11:$I$190,A143-Inputs!$G$13),0)</f>
        <v>0</v>
      </c>
      <c r="N143" s="64" t="n">
        <f aca="false">IF(D143,(H143-I143)*Inputs!$G$23,0)</f>
        <v>0</v>
      </c>
      <c r="O143" s="64" t="n">
        <f aca="false">AG142</f>
        <v>0</v>
      </c>
      <c r="P143" s="64" t="n">
        <f aca="false">AH142</f>
        <v>0</v>
      </c>
      <c r="Q143" s="64" t="n">
        <f aca="false">IF(AND(D143,O143+P143&gt;0),Inputs!$C$25+Inputs!$C$26*H143/4,0)</f>
        <v>0</v>
      </c>
      <c r="R143" s="64" t="n">
        <f aca="false">O143*IF(Inputs!$G$19="",G143+Inputs!$C$13,MAX(Inputs!$G$19,G143+Inputs!$C$13))*F143</f>
        <v>0</v>
      </c>
      <c r="S143" s="64" t="n">
        <f aca="false">P143*(G143+Inputs!$C$14)*F143</f>
        <v>0</v>
      </c>
      <c r="T143" s="64" t="n">
        <f aca="false">N143+M143-Q143-R143-S143</f>
        <v>0</v>
      </c>
      <c r="U143" s="64" t="n">
        <f aca="false">W142</f>
        <v>260422.420657149</v>
      </c>
      <c r="V143" s="64" t="n">
        <f aca="false">MIN(U143+I143,MAX(T143,0))</f>
        <v>0</v>
      </c>
      <c r="W143" s="64" t="n">
        <f aca="false">U143+I143-V143</f>
        <v>260422.420657149</v>
      </c>
      <c r="X143" s="64" t="n">
        <f aca="false">K143+L143+V143+IF(E143,H143-I143-K143-L143,0)</f>
        <v>0</v>
      </c>
      <c r="Y143" s="61" t="b">
        <f aca="false">AND(Inputs!$C$21=1,O143/Inputs!$C$10&lt;=Inputs!$C$22,Inputs!$G$14&lt;Inputs!$C$23,W143&lt;1)</f>
        <v>0</v>
      </c>
      <c r="Z143" s="61" t="b">
        <f aca="false">OR(AND(Inputs!$G$15=1,H143/Inputs!$C$17&lt;=Inputs!$C$24),AND(Inputs!$G$15=2,C143&gt;=Inputs!$G$16))</f>
        <v>0</v>
      </c>
      <c r="AA143" s="61" t="b">
        <f aca="false">OR(AA142,Z143)</f>
        <v>0</v>
      </c>
      <c r="AB143" s="61" t="b">
        <f aca="false">AND(Z143,NOT(AA142),D143,O143&gt;0)</f>
        <v>0</v>
      </c>
      <c r="AC143" s="63" t="n">
        <f aca="false">IF(AND(Y143,NOT(E143),O143+P143&gt;0),O143/(O143+P143),1)</f>
        <v>1</v>
      </c>
      <c r="AD143" s="64" t="n">
        <f aca="false">IF(AB143,O143,IF(D143,MIN(O143,IF(E143,AC143*X143+BF142,BE143*Inputs!$G$20)),0))</f>
        <v>0</v>
      </c>
      <c r="AE143" s="64" t="n">
        <f aca="false">IF(AB143,P143,IF(D143,MAX(MIN(P143,X143-MIN(O143,AC143*X143)),0),0))</f>
        <v>0</v>
      </c>
      <c r="AF143" s="64" t="n">
        <f aca="false">IF(OR(AB143,E143),0,MAX(H143-I143-K143-L143,0))</f>
        <v>0</v>
      </c>
      <c r="AG143" s="64" t="n">
        <f aca="false">IF(E143,0,O143-AD143)</f>
        <v>0</v>
      </c>
      <c r="AH143" s="64" t="n">
        <f aca="false">IF(OR(AB143,E143),0,P143-AE143)</f>
        <v>0</v>
      </c>
      <c r="AI143" s="64" t="n">
        <f aca="false">IF(D143,R143+AD143,0)</f>
        <v>0</v>
      </c>
      <c r="AJ143" s="65" t="n">
        <f aca="false">(C143-Inputs!$G$6)/365</f>
        <v>33.1698630136986</v>
      </c>
      <c r="AK143" s="29" t="n">
        <f aca="false">AG143/Inputs!$C$10</f>
        <v>0</v>
      </c>
      <c r="AL143" s="5"/>
      <c r="AM143" s="66" t="n">
        <f aca="false">F143</f>
        <v>0.261111111111111</v>
      </c>
      <c r="AN143" s="5"/>
      <c r="AO143" s="5" t="n">
        <f aca="false">AO142+LN(1+($G143+AO$7)*$AM143)</f>
        <v>0.84212354739751</v>
      </c>
      <c r="AP143" s="5" t="n">
        <f aca="false">AP142+LN(1+($G143+AP$7)*$AM143)</f>
        <v>0.845465300098003</v>
      </c>
      <c r="AQ143" s="5" t="n">
        <f aca="false">AQ142+LN(1+($G143+AQ$7)*$AM143)</f>
        <v>0.952806534461624</v>
      </c>
      <c r="AR143" s="5" t="n">
        <f aca="false">AR142+LN(1+($G143+AR$7)*$AM143)</f>
        <v>0.956145502889912</v>
      </c>
      <c r="AS143" s="5" t="n">
        <f aca="false">AS142+LN(1+($G143+AS$7)*$AM143)</f>
        <v>0.954020250734512</v>
      </c>
      <c r="AT143" s="5" t="n">
        <f aca="false">AT142+LN(1+($G143+AT$7)*$AM143)</f>
        <v>0.957359188644196</v>
      </c>
      <c r="AU143" s="5" t="n">
        <f aca="false">AU142+LN(1+($G143+AU$7)*$AM143)</f>
        <v>0.954019991594544</v>
      </c>
      <c r="AV143" s="5" t="n">
        <f aca="false">AV142+LN(1+($G143+AV$7)*$AM143)</f>
        <v>0.957358929510743</v>
      </c>
      <c r="AW143" s="5" t="n">
        <f aca="false">AW142+LN(1+($G143+AW$7)*$AM143)</f>
        <v>0.95401999168145</v>
      </c>
      <c r="AX143" s="5" t="n">
        <f aca="false">AX142+LN(1+($G143+AX$7)*$AM143)</f>
        <v>0.957358929597655</v>
      </c>
      <c r="AY143" s="5" t="n">
        <f aca="false">AY142+LN(1+($G143+AY$7)*$AM143)</f>
        <v>0.954019991681434</v>
      </c>
      <c r="AZ143" s="5" t="n">
        <f aca="false">AZ142+LN(1+($G143+AZ$7)*$AM143)</f>
        <v>0.957358929597626</v>
      </c>
      <c r="BA143" s="5" t="n">
        <f aca="false">BA142+LN(1+($G143+BA$7)*$AM143)</f>
        <v>0.954019991681434</v>
      </c>
      <c r="BB143" s="5" t="n">
        <f aca="false">BB142+LN(1+($G143+BB$7)*$AM143)</f>
        <v>0.957358929597626</v>
      </c>
      <c r="BC143" s="5" t="n">
        <f aca="false">BC142+LN(1+($G143+BC$7)*$AM143)</f>
        <v>0.954019991681434</v>
      </c>
      <c r="BD143" s="5" t="n">
        <f aca="false">BD142+LN(1+($G143+BD$7)*$AM143)</f>
        <v>0.957358929597626</v>
      </c>
      <c r="BE143" s="5" t="n">
        <f aca="false">IF(AB143,O143,IF(D143,MIN(O143,AC143*X143+BF142),0))</f>
        <v>0</v>
      </c>
      <c r="BF143" s="5" t="n">
        <f aca="false">IF(OR(AB143,E143),0,BE143-AD143)</f>
        <v>0</v>
      </c>
      <c r="BG143" s="5" t="n">
        <f aca="false">BG142+LN(1+($G143+BG$7)*$AM143)</f>
        <v>0.92062599404569</v>
      </c>
      <c r="BH143" s="5"/>
      <c r="BI143" s="5" t="n">
        <f aca="false">BI142+LN(1+($G143+BI$7)*$AM143)</f>
        <v>0.987405593360173</v>
      </c>
      <c r="BJ143" s="5"/>
      <c r="BK143" s="62" t="n">
        <f aca="false">C143</f>
        <v>58396</v>
      </c>
      <c r="BL143" s="67" t="n">
        <f aca="false">AI143</f>
        <v>0</v>
      </c>
    </row>
    <row r="144" customFormat="false" ht="15" hidden="false" customHeight="true" outlineLevel="0" collapsed="false">
      <c r="A144" s="3" t="n">
        <v>134</v>
      </c>
      <c r="B144" s="38" t="n">
        <f aca="false">EDATE(Inputs!$C$8,3*(A144-1))</f>
        <v>58486</v>
      </c>
      <c r="C144" s="38" t="n">
        <f aca="false">WORKDAY(B144-1,1)</f>
        <v>58487</v>
      </c>
      <c r="D144" s="61" t="b">
        <f aca="false">C144&lt;=Inputs!$C$9</f>
        <v>0</v>
      </c>
      <c r="E144" s="61" t="b">
        <f aca="false">AND(D144,NOT(D145))</f>
        <v>0</v>
      </c>
      <c r="F144" s="63" t="n">
        <f aca="false">(C144-C143)/360</f>
        <v>0.252777777777778</v>
      </c>
      <c r="G144" s="57" t="n">
        <f aca="false">Curve!D137</f>
        <v>0.02252</v>
      </c>
      <c r="H144" s="64" t="n">
        <f aca="false">AF143</f>
        <v>0</v>
      </c>
      <c r="I144" s="64" t="n">
        <f aca="false">IF(D144,H144*Inputs!$G$22,0)</f>
        <v>0</v>
      </c>
      <c r="J144" s="32" t="n">
        <f aca="false">MAX(Inputs!$G$24-(A144-1),1)</f>
        <v>1</v>
      </c>
      <c r="K144" s="64" t="n">
        <f aca="false">IF(D144,MIN(H144-I144,IF(J144&gt;1,(H144-I144)*Inputs!$G$23/((1+Inputs!$G$23)^J144-1),H144-I144)),0)</f>
        <v>0</v>
      </c>
      <c r="L144" s="64" t="n">
        <f aca="false">IF(D144,(H144-I144-K144)*Inputs!$G$21,0)</f>
        <v>0</v>
      </c>
      <c r="M144" s="64" t="n">
        <f aca="false">IF(A144&gt;Inputs!$G$13,(1-Inputs!$G$12)*INDEX($I$11:$I$190,A144-Inputs!$G$13),0)</f>
        <v>0</v>
      </c>
      <c r="N144" s="64" t="n">
        <f aca="false">IF(D144,(H144-I144)*Inputs!$G$23,0)</f>
        <v>0</v>
      </c>
      <c r="O144" s="64" t="n">
        <f aca="false">AG143</f>
        <v>0</v>
      </c>
      <c r="P144" s="64" t="n">
        <f aca="false">AH143</f>
        <v>0</v>
      </c>
      <c r="Q144" s="64" t="n">
        <f aca="false">IF(AND(D144,O144+P144&gt;0),Inputs!$C$25+Inputs!$C$26*H144/4,0)</f>
        <v>0</v>
      </c>
      <c r="R144" s="64" t="n">
        <f aca="false">O144*IF(Inputs!$G$19="",G144+Inputs!$C$13,MAX(Inputs!$G$19,G144+Inputs!$C$13))*F144</f>
        <v>0</v>
      </c>
      <c r="S144" s="64" t="n">
        <f aca="false">P144*(G144+Inputs!$C$14)*F144</f>
        <v>0</v>
      </c>
      <c r="T144" s="64" t="n">
        <f aca="false">N144+M144-Q144-R144-S144</f>
        <v>0</v>
      </c>
      <c r="U144" s="64" t="n">
        <f aca="false">W143</f>
        <v>260422.420657149</v>
      </c>
      <c r="V144" s="64" t="n">
        <f aca="false">MIN(U144+I144,MAX(T144,0))</f>
        <v>0</v>
      </c>
      <c r="W144" s="64" t="n">
        <f aca="false">U144+I144-V144</f>
        <v>260422.420657149</v>
      </c>
      <c r="X144" s="64" t="n">
        <f aca="false">K144+L144+V144+IF(E144,H144-I144-K144-L144,0)</f>
        <v>0</v>
      </c>
      <c r="Y144" s="61" t="b">
        <f aca="false">AND(Inputs!$C$21=1,O144/Inputs!$C$10&lt;=Inputs!$C$22,Inputs!$G$14&lt;Inputs!$C$23,W144&lt;1)</f>
        <v>0</v>
      </c>
      <c r="Z144" s="61" t="b">
        <f aca="false">OR(AND(Inputs!$G$15=1,H144/Inputs!$C$17&lt;=Inputs!$C$24),AND(Inputs!$G$15=2,C144&gt;=Inputs!$G$16))</f>
        <v>0</v>
      </c>
      <c r="AA144" s="61" t="b">
        <f aca="false">OR(AA143,Z144)</f>
        <v>0</v>
      </c>
      <c r="AB144" s="61" t="b">
        <f aca="false">AND(Z144,NOT(AA143),D144,O144&gt;0)</f>
        <v>0</v>
      </c>
      <c r="AC144" s="63" t="n">
        <f aca="false">IF(AND(Y144,NOT(E144),O144+P144&gt;0),O144/(O144+P144),1)</f>
        <v>1</v>
      </c>
      <c r="AD144" s="64" t="n">
        <f aca="false">IF(AB144,O144,IF(D144,MIN(O144,IF(E144,AC144*X144+BF143,BE144*Inputs!$G$20)),0))</f>
        <v>0</v>
      </c>
      <c r="AE144" s="64" t="n">
        <f aca="false">IF(AB144,P144,IF(D144,MAX(MIN(P144,X144-MIN(O144,AC144*X144)),0),0))</f>
        <v>0</v>
      </c>
      <c r="AF144" s="64" t="n">
        <f aca="false">IF(OR(AB144,E144),0,MAX(H144-I144-K144-L144,0))</f>
        <v>0</v>
      </c>
      <c r="AG144" s="64" t="n">
        <f aca="false">IF(E144,0,O144-AD144)</f>
        <v>0</v>
      </c>
      <c r="AH144" s="64" t="n">
        <f aca="false">IF(OR(AB144,E144),0,P144-AE144)</f>
        <v>0</v>
      </c>
      <c r="AI144" s="64" t="n">
        <f aca="false">IF(D144,R144+AD144,0)</f>
        <v>0</v>
      </c>
      <c r="AJ144" s="65" t="n">
        <f aca="false">(C144-Inputs!$G$6)/365</f>
        <v>33.4191780821918</v>
      </c>
      <c r="AK144" s="29" t="n">
        <f aca="false">AG144/Inputs!$C$10</f>
        <v>0</v>
      </c>
      <c r="AL144" s="5"/>
      <c r="AM144" s="66" t="n">
        <f aca="false">F144</f>
        <v>0.252777777777778</v>
      </c>
      <c r="AN144" s="5"/>
      <c r="AO144" s="5" t="n">
        <f aca="false">AO143+LN(1+($G144+AO$7)*$AM144)</f>
        <v>0.84845325027234</v>
      </c>
      <c r="AP144" s="5" t="n">
        <f aca="false">AP143+LN(1+($G144+AP$7)*$AM144)</f>
        <v>0.851820120939641</v>
      </c>
      <c r="AQ144" s="5" t="n">
        <f aca="false">AQ143+LN(1+($G144+AQ$7)*$AM144)</f>
        <v>0.959968176141307</v>
      </c>
      <c r="AR144" s="5" t="n">
        <f aca="false">AR143+LN(1+($G144+AR$7)*$AM144)</f>
        <v>0.963332241648743</v>
      </c>
      <c r="AS144" s="5" t="n">
        <f aca="false">AS143+LN(1+($G144+AS$7)*$AM144)</f>
        <v>0.961191015211716</v>
      </c>
      <c r="AT144" s="5" t="n">
        <f aca="false">AT143+LN(1+($G144+AT$7)*$AM144)</f>
        <v>0.964555049971597</v>
      </c>
      <c r="AU144" s="5" t="n">
        <f aca="false">AU143+LN(1+($G144+AU$7)*$AM144)</f>
        <v>0.961190754123943</v>
      </c>
      <c r="AV144" s="5" t="n">
        <f aca="false">AV143+LN(1+($G144+AV$7)*$AM144)</f>
        <v>0.964554788890388</v>
      </c>
      <c r="AW144" s="5" t="n">
        <f aca="false">AW143+LN(1+($G144+AW$7)*$AM144)</f>
        <v>0.961190754211503</v>
      </c>
      <c r="AX144" s="5" t="n">
        <f aca="false">AX143+LN(1+($G144+AX$7)*$AM144)</f>
        <v>0.964554788977954</v>
      </c>
      <c r="AY144" s="5" t="n">
        <f aca="false">AY143+LN(1+($G144+AY$7)*$AM144)</f>
        <v>0.961190754211486</v>
      </c>
      <c r="AZ144" s="5" t="n">
        <f aca="false">AZ143+LN(1+($G144+AZ$7)*$AM144)</f>
        <v>0.964554788977924</v>
      </c>
      <c r="BA144" s="5" t="n">
        <f aca="false">BA143+LN(1+($G144+BA$7)*$AM144)</f>
        <v>0.961190754211486</v>
      </c>
      <c r="BB144" s="5" t="n">
        <f aca="false">BB143+LN(1+($G144+BB$7)*$AM144)</f>
        <v>0.964554788977924</v>
      </c>
      <c r="BC144" s="5" t="n">
        <f aca="false">BC143+LN(1+($G144+BC$7)*$AM144)</f>
        <v>0.961190754211486</v>
      </c>
      <c r="BD144" s="5" t="n">
        <f aca="false">BD143+LN(1+($G144+BD$7)*$AM144)</f>
        <v>0.964554788977924</v>
      </c>
      <c r="BE144" s="5" t="n">
        <f aca="false">IF(AB144,O144,IF(D144,MIN(O144,AC144*X144+BF143),0))</f>
        <v>0</v>
      </c>
      <c r="BF144" s="5" t="n">
        <f aca="false">IF(OR(AB144,E144),0,BE144-AD144)</f>
        <v>0</v>
      </c>
      <c r="BG144" s="5" t="n">
        <f aca="false">BG143+LN(1+($G144+BG$7)*$AM144)</f>
        <v>0.927545753425337</v>
      </c>
      <c r="BH144" s="5"/>
      <c r="BI144" s="5" t="n">
        <f aca="false">BI143+LN(1+($G144+BI$7)*$AM144)</f>
        <v>0.994827296053859</v>
      </c>
      <c r="BJ144" s="5"/>
      <c r="BK144" s="62" t="n">
        <f aca="false">C144</f>
        <v>58487</v>
      </c>
      <c r="BL144" s="67" t="n">
        <f aca="false">AI144</f>
        <v>0</v>
      </c>
    </row>
    <row r="145" customFormat="false" ht="15" hidden="false" customHeight="true" outlineLevel="0" collapsed="false">
      <c r="A145" s="3" t="n">
        <v>135</v>
      </c>
      <c r="B145" s="38" t="n">
        <f aca="false">EDATE(Inputs!$C$8,3*(A145-1))</f>
        <v>58576</v>
      </c>
      <c r="C145" s="38" t="n">
        <f aca="false">WORKDAY(B145-1,1)</f>
        <v>58578</v>
      </c>
      <c r="D145" s="61" t="b">
        <f aca="false">C145&lt;=Inputs!$C$9</f>
        <v>0</v>
      </c>
      <c r="E145" s="61" t="b">
        <f aca="false">AND(D145,NOT(D146))</f>
        <v>0</v>
      </c>
      <c r="F145" s="63" t="n">
        <f aca="false">(C145-C144)/360</f>
        <v>0.252777777777778</v>
      </c>
      <c r="G145" s="57" t="n">
        <f aca="false">Curve!D138</f>
        <v>0.02252</v>
      </c>
      <c r="H145" s="64" t="n">
        <f aca="false">AF144</f>
        <v>0</v>
      </c>
      <c r="I145" s="64" t="n">
        <f aca="false">IF(D145,H145*Inputs!$G$22,0)</f>
        <v>0</v>
      </c>
      <c r="J145" s="32" t="n">
        <f aca="false">MAX(Inputs!$G$24-(A145-1),1)</f>
        <v>1</v>
      </c>
      <c r="K145" s="64" t="n">
        <f aca="false">IF(D145,MIN(H145-I145,IF(J145&gt;1,(H145-I145)*Inputs!$G$23/((1+Inputs!$G$23)^J145-1),H145-I145)),0)</f>
        <v>0</v>
      </c>
      <c r="L145" s="64" t="n">
        <f aca="false">IF(D145,(H145-I145-K145)*Inputs!$G$21,0)</f>
        <v>0</v>
      </c>
      <c r="M145" s="64" t="n">
        <f aca="false">IF(A145&gt;Inputs!$G$13,(1-Inputs!$G$12)*INDEX($I$11:$I$190,A145-Inputs!$G$13),0)</f>
        <v>0</v>
      </c>
      <c r="N145" s="64" t="n">
        <f aca="false">IF(D145,(H145-I145)*Inputs!$G$23,0)</f>
        <v>0</v>
      </c>
      <c r="O145" s="64" t="n">
        <f aca="false">AG144</f>
        <v>0</v>
      </c>
      <c r="P145" s="64" t="n">
        <f aca="false">AH144</f>
        <v>0</v>
      </c>
      <c r="Q145" s="64" t="n">
        <f aca="false">IF(AND(D145,O145+P145&gt;0),Inputs!$C$25+Inputs!$C$26*H145/4,0)</f>
        <v>0</v>
      </c>
      <c r="R145" s="64" t="n">
        <f aca="false">O145*IF(Inputs!$G$19="",G145+Inputs!$C$13,MAX(Inputs!$G$19,G145+Inputs!$C$13))*F145</f>
        <v>0</v>
      </c>
      <c r="S145" s="64" t="n">
        <f aca="false">P145*(G145+Inputs!$C$14)*F145</f>
        <v>0</v>
      </c>
      <c r="T145" s="64" t="n">
        <f aca="false">N145+M145-Q145-R145-S145</f>
        <v>0</v>
      </c>
      <c r="U145" s="64" t="n">
        <f aca="false">W144</f>
        <v>260422.420657149</v>
      </c>
      <c r="V145" s="64" t="n">
        <f aca="false">MIN(U145+I145,MAX(T145,0))</f>
        <v>0</v>
      </c>
      <c r="W145" s="64" t="n">
        <f aca="false">U145+I145-V145</f>
        <v>260422.420657149</v>
      </c>
      <c r="X145" s="64" t="n">
        <f aca="false">K145+L145+V145+IF(E145,H145-I145-K145-L145,0)</f>
        <v>0</v>
      </c>
      <c r="Y145" s="61" t="b">
        <f aca="false">AND(Inputs!$C$21=1,O145/Inputs!$C$10&lt;=Inputs!$C$22,Inputs!$G$14&lt;Inputs!$C$23,W145&lt;1)</f>
        <v>0</v>
      </c>
      <c r="Z145" s="61" t="b">
        <f aca="false">OR(AND(Inputs!$G$15=1,H145/Inputs!$C$17&lt;=Inputs!$C$24),AND(Inputs!$G$15=2,C145&gt;=Inputs!$G$16))</f>
        <v>0</v>
      </c>
      <c r="AA145" s="61" t="b">
        <f aca="false">OR(AA144,Z145)</f>
        <v>0</v>
      </c>
      <c r="AB145" s="61" t="b">
        <f aca="false">AND(Z145,NOT(AA144),D145,O145&gt;0)</f>
        <v>0</v>
      </c>
      <c r="AC145" s="63" t="n">
        <f aca="false">IF(AND(Y145,NOT(E145),O145+P145&gt;0),O145/(O145+P145),1)</f>
        <v>1</v>
      </c>
      <c r="AD145" s="64" t="n">
        <f aca="false">IF(AB145,O145,IF(D145,MIN(O145,IF(E145,AC145*X145+BF144,BE145*Inputs!$G$20)),0))</f>
        <v>0</v>
      </c>
      <c r="AE145" s="64" t="n">
        <f aca="false">IF(AB145,P145,IF(D145,MAX(MIN(P145,X145-MIN(O145,AC145*X145)),0),0))</f>
        <v>0</v>
      </c>
      <c r="AF145" s="64" t="n">
        <f aca="false">IF(OR(AB145,E145),0,MAX(H145-I145-K145-L145,0))</f>
        <v>0</v>
      </c>
      <c r="AG145" s="64" t="n">
        <f aca="false">IF(E145,0,O145-AD145)</f>
        <v>0</v>
      </c>
      <c r="AH145" s="64" t="n">
        <f aca="false">IF(OR(AB145,E145),0,P145-AE145)</f>
        <v>0</v>
      </c>
      <c r="AI145" s="64" t="n">
        <f aca="false">IF(D145,R145+AD145,0)</f>
        <v>0</v>
      </c>
      <c r="AJ145" s="65" t="n">
        <f aca="false">(C145-Inputs!$G$6)/365</f>
        <v>33.6684931506849</v>
      </c>
      <c r="AK145" s="29" t="n">
        <f aca="false">AG145/Inputs!$C$10</f>
        <v>0</v>
      </c>
      <c r="AL145" s="5"/>
      <c r="AM145" s="66" t="n">
        <f aca="false">F145</f>
        <v>0.252777777777778</v>
      </c>
      <c r="AN145" s="5"/>
      <c r="AO145" s="5" t="n">
        <f aca="false">AO144+LN(1+($G145+AO$7)*$AM145)</f>
        <v>0.85478295314717</v>
      </c>
      <c r="AP145" s="5" t="n">
        <f aca="false">AP144+LN(1+($G145+AP$7)*$AM145)</f>
        <v>0.85817494178128</v>
      </c>
      <c r="AQ145" s="5" t="n">
        <f aca="false">AQ144+LN(1+($G145+AQ$7)*$AM145)</f>
        <v>0.96712981782099</v>
      </c>
      <c r="AR145" s="5" t="n">
        <f aca="false">AR144+LN(1+($G145+AR$7)*$AM145)</f>
        <v>0.970518980407575</v>
      </c>
      <c r="AS145" s="5" t="n">
        <f aca="false">AS144+LN(1+($G145+AS$7)*$AM145)</f>
        <v>0.968361779688919</v>
      </c>
      <c r="AT145" s="5" t="n">
        <f aca="false">AT144+LN(1+($G145+AT$7)*$AM145)</f>
        <v>0.971750911298998</v>
      </c>
      <c r="AU145" s="5" t="n">
        <f aca="false">AU144+LN(1+($G145+AU$7)*$AM145)</f>
        <v>0.968361516653342</v>
      </c>
      <c r="AV145" s="5" t="n">
        <f aca="false">AV144+LN(1+($G145+AV$7)*$AM145)</f>
        <v>0.971750648270034</v>
      </c>
      <c r="AW145" s="5" t="n">
        <f aca="false">AW144+LN(1+($G145+AW$7)*$AM145)</f>
        <v>0.968361516741556</v>
      </c>
      <c r="AX145" s="5" t="n">
        <f aca="false">AX144+LN(1+($G145+AX$7)*$AM145)</f>
        <v>0.971750648358253</v>
      </c>
      <c r="AY145" s="5" t="n">
        <f aca="false">AY144+LN(1+($G145+AY$7)*$AM145)</f>
        <v>0.968361516741539</v>
      </c>
      <c r="AZ145" s="5" t="n">
        <f aca="false">AZ144+LN(1+($G145+AZ$7)*$AM145)</f>
        <v>0.971750648358223</v>
      </c>
      <c r="BA145" s="5" t="n">
        <f aca="false">BA144+LN(1+($G145+BA$7)*$AM145)</f>
        <v>0.968361516741539</v>
      </c>
      <c r="BB145" s="5" t="n">
        <f aca="false">BB144+LN(1+($G145+BB$7)*$AM145)</f>
        <v>0.971750648358223</v>
      </c>
      <c r="BC145" s="5" t="n">
        <f aca="false">BC144+LN(1+($G145+BC$7)*$AM145)</f>
        <v>0.968361516741539</v>
      </c>
      <c r="BD145" s="5" t="n">
        <f aca="false">BD144+LN(1+($G145+BD$7)*$AM145)</f>
        <v>0.971750648358223</v>
      </c>
      <c r="BE145" s="5" t="n">
        <f aca="false">IF(AB145,O145,IF(D145,MIN(O145,AC145*X145+BF144),0))</f>
        <v>0</v>
      </c>
      <c r="BF145" s="5" t="n">
        <f aca="false">IF(OR(AB145,E145),0,BE145-AD145)</f>
        <v>0</v>
      </c>
      <c r="BG145" s="5" t="n">
        <f aca="false">BG144+LN(1+($G145+BG$7)*$AM145)</f>
        <v>0.934465512804984</v>
      </c>
      <c r="BH145" s="5"/>
      <c r="BI145" s="5" t="n">
        <f aca="false">BI144+LN(1+($G145+BI$7)*$AM145)</f>
        <v>1.00224899874754</v>
      </c>
      <c r="BJ145" s="5"/>
      <c r="BK145" s="62" t="n">
        <f aca="false">C145</f>
        <v>58578</v>
      </c>
      <c r="BL145" s="67" t="n">
        <f aca="false">AI145</f>
        <v>0</v>
      </c>
    </row>
    <row r="146" customFormat="false" ht="15" hidden="false" customHeight="true" outlineLevel="0" collapsed="false">
      <c r="A146" s="3" t="n">
        <v>136</v>
      </c>
      <c r="B146" s="38" t="n">
        <f aca="false">EDATE(Inputs!$C$8,3*(A146-1))</f>
        <v>58668</v>
      </c>
      <c r="C146" s="38" t="n">
        <f aca="false">WORKDAY(B146-1,1)</f>
        <v>58669</v>
      </c>
      <c r="D146" s="61" t="b">
        <f aca="false">C146&lt;=Inputs!$C$9</f>
        <v>0</v>
      </c>
      <c r="E146" s="61" t="b">
        <f aca="false">AND(D146,NOT(D147))</f>
        <v>0</v>
      </c>
      <c r="F146" s="63" t="n">
        <f aca="false">(C146-C145)/360</f>
        <v>0.252777777777778</v>
      </c>
      <c r="G146" s="57" t="n">
        <f aca="false">Curve!D139</f>
        <v>0.02252</v>
      </c>
      <c r="H146" s="64" t="n">
        <f aca="false">AF145</f>
        <v>0</v>
      </c>
      <c r="I146" s="64" t="n">
        <f aca="false">IF(D146,H146*Inputs!$G$22,0)</f>
        <v>0</v>
      </c>
      <c r="J146" s="32" t="n">
        <f aca="false">MAX(Inputs!$G$24-(A146-1),1)</f>
        <v>1</v>
      </c>
      <c r="K146" s="64" t="n">
        <f aca="false">IF(D146,MIN(H146-I146,IF(J146&gt;1,(H146-I146)*Inputs!$G$23/((1+Inputs!$G$23)^J146-1),H146-I146)),0)</f>
        <v>0</v>
      </c>
      <c r="L146" s="64" t="n">
        <f aca="false">IF(D146,(H146-I146-K146)*Inputs!$G$21,0)</f>
        <v>0</v>
      </c>
      <c r="M146" s="64" t="n">
        <f aca="false">IF(A146&gt;Inputs!$G$13,(1-Inputs!$G$12)*INDEX($I$11:$I$190,A146-Inputs!$G$13),0)</f>
        <v>0</v>
      </c>
      <c r="N146" s="64" t="n">
        <f aca="false">IF(D146,(H146-I146)*Inputs!$G$23,0)</f>
        <v>0</v>
      </c>
      <c r="O146" s="64" t="n">
        <f aca="false">AG145</f>
        <v>0</v>
      </c>
      <c r="P146" s="64" t="n">
        <f aca="false">AH145</f>
        <v>0</v>
      </c>
      <c r="Q146" s="64" t="n">
        <f aca="false">IF(AND(D146,O146+P146&gt;0),Inputs!$C$25+Inputs!$C$26*H146/4,0)</f>
        <v>0</v>
      </c>
      <c r="R146" s="64" t="n">
        <f aca="false">O146*IF(Inputs!$G$19="",G146+Inputs!$C$13,MAX(Inputs!$G$19,G146+Inputs!$C$13))*F146</f>
        <v>0</v>
      </c>
      <c r="S146" s="64" t="n">
        <f aca="false">P146*(G146+Inputs!$C$14)*F146</f>
        <v>0</v>
      </c>
      <c r="T146" s="64" t="n">
        <f aca="false">N146+M146-Q146-R146-S146</f>
        <v>0</v>
      </c>
      <c r="U146" s="64" t="n">
        <f aca="false">W145</f>
        <v>260422.420657149</v>
      </c>
      <c r="V146" s="64" t="n">
        <f aca="false">MIN(U146+I146,MAX(T146,0))</f>
        <v>0</v>
      </c>
      <c r="W146" s="64" t="n">
        <f aca="false">U146+I146-V146</f>
        <v>260422.420657149</v>
      </c>
      <c r="X146" s="64" t="n">
        <f aca="false">K146+L146+V146+IF(E146,H146-I146-K146-L146,0)</f>
        <v>0</v>
      </c>
      <c r="Y146" s="61" t="b">
        <f aca="false">AND(Inputs!$C$21=1,O146/Inputs!$C$10&lt;=Inputs!$C$22,Inputs!$G$14&lt;Inputs!$C$23,W146&lt;1)</f>
        <v>0</v>
      </c>
      <c r="Z146" s="61" t="b">
        <f aca="false">OR(AND(Inputs!$G$15=1,H146/Inputs!$C$17&lt;=Inputs!$C$24),AND(Inputs!$G$15=2,C146&gt;=Inputs!$G$16))</f>
        <v>0</v>
      </c>
      <c r="AA146" s="61" t="b">
        <f aca="false">OR(AA145,Z146)</f>
        <v>0</v>
      </c>
      <c r="AB146" s="61" t="b">
        <f aca="false">AND(Z146,NOT(AA145),D146,O146&gt;0)</f>
        <v>0</v>
      </c>
      <c r="AC146" s="63" t="n">
        <f aca="false">IF(AND(Y146,NOT(E146),O146+P146&gt;0),O146/(O146+P146),1)</f>
        <v>1</v>
      </c>
      <c r="AD146" s="64" t="n">
        <f aca="false">IF(AB146,O146,IF(D146,MIN(O146,IF(E146,AC146*X146+BF145,BE146*Inputs!$G$20)),0))</f>
        <v>0</v>
      </c>
      <c r="AE146" s="64" t="n">
        <f aca="false">IF(AB146,P146,IF(D146,MAX(MIN(P146,X146-MIN(O146,AC146*X146)),0),0))</f>
        <v>0</v>
      </c>
      <c r="AF146" s="64" t="n">
        <f aca="false">IF(OR(AB146,E146),0,MAX(H146-I146-K146-L146,0))</f>
        <v>0</v>
      </c>
      <c r="AG146" s="64" t="n">
        <f aca="false">IF(E146,0,O146-AD146)</f>
        <v>0</v>
      </c>
      <c r="AH146" s="64" t="n">
        <f aca="false">IF(OR(AB146,E146),0,P146-AE146)</f>
        <v>0</v>
      </c>
      <c r="AI146" s="64" t="n">
        <f aca="false">IF(D146,R146+AD146,0)</f>
        <v>0</v>
      </c>
      <c r="AJ146" s="65" t="n">
        <f aca="false">(C146-Inputs!$G$6)/365</f>
        <v>33.9178082191781</v>
      </c>
      <c r="AK146" s="29" t="n">
        <f aca="false">AG146/Inputs!$C$10</f>
        <v>0</v>
      </c>
      <c r="AL146" s="5"/>
      <c r="AM146" s="66" t="n">
        <f aca="false">F146</f>
        <v>0.252777777777778</v>
      </c>
      <c r="AN146" s="5"/>
      <c r="AO146" s="5" t="n">
        <f aca="false">AO145+LN(1+($G146+AO$7)*$AM146)</f>
        <v>0.861112656022</v>
      </c>
      <c r="AP146" s="5" t="n">
        <f aca="false">AP145+LN(1+($G146+AP$7)*$AM146)</f>
        <v>0.864529762622919</v>
      </c>
      <c r="AQ146" s="5" t="n">
        <f aca="false">AQ145+LN(1+($G146+AQ$7)*$AM146)</f>
        <v>0.974291459500672</v>
      </c>
      <c r="AR146" s="5" t="n">
        <f aca="false">AR145+LN(1+($G146+AR$7)*$AM146)</f>
        <v>0.977705719166407</v>
      </c>
      <c r="AS146" s="5" t="n">
        <f aca="false">AS145+LN(1+($G146+AS$7)*$AM146)</f>
        <v>0.975532544166122</v>
      </c>
      <c r="AT146" s="5" t="n">
        <f aca="false">AT145+LN(1+($G146+AT$7)*$AM146)</f>
        <v>0.978946772626399</v>
      </c>
      <c r="AU146" s="5" t="n">
        <f aca="false">AU145+LN(1+($G146+AU$7)*$AM146)</f>
        <v>0.975532279182741</v>
      </c>
      <c r="AV146" s="5" t="n">
        <f aca="false">AV145+LN(1+($G146+AV$7)*$AM146)</f>
        <v>0.97894650764968</v>
      </c>
      <c r="AW146" s="5" t="n">
        <f aca="false">AW145+LN(1+($G146+AW$7)*$AM146)</f>
        <v>0.975532279271608</v>
      </c>
      <c r="AX146" s="5" t="n">
        <f aca="false">AX145+LN(1+($G146+AX$7)*$AM146)</f>
        <v>0.978946507738551</v>
      </c>
      <c r="AY146" s="5" t="n">
        <f aca="false">AY145+LN(1+($G146+AY$7)*$AM146)</f>
        <v>0.975532279271591</v>
      </c>
      <c r="AZ146" s="5" t="n">
        <f aca="false">AZ145+LN(1+($G146+AZ$7)*$AM146)</f>
        <v>0.978946507738521</v>
      </c>
      <c r="BA146" s="5" t="n">
        <f aca="false">BA145+LN(1+($G146+BA$7)*$AM146)</f>
        <v>0.975532279271591</v>
      </c>
      <c r="BB146" s="5" t="n">
        <f aca="false">BB145+LN(1+($G146+BB$7)*$AM146)</f>
        <v>0.978946507738521</v>
      </c>
      <c r="BC146" s="5" t="n">
        <f aca="false">BC145+LN(1+($G146+BC$7)*$AM146)</f>
        <v>0.975532279271591</v>
      </c>
      <c r="BD146" s="5" t="n">
        <f aca="false">BD145+LN(1+($G146+BD$7)*$AM146)</f>
        <v>0.978946507738521</v>
      </c>
      <c r="BE146" s="5" t="n">
        <f aca="false">IF(AB146,O146,IF(D146,MIN(O146,AC146*X146+BF145),0))</f>
        <v>0</v>
      </c>
      <c r="BF146" s="5" t="n">
        <f aca="false">IF(OR(AB146,E146),0,BE146-AD146)</f>
        <v>0</v>
      </c>
      <c r="BG146" s="5" t="n">
        <f aca="false">BG145+LN(1+($G146+BG$7)*$AM146)</f>
        <v>0.941385272184631</v>
      </c>
      <c r="BH146" s="5"/>
      <c r="BI146" s="5" t="n">
        <f aca="false">BI145+LN(1+($G146+BI$7)*$AM146)</f>
        <v>1.00967070144123</v>
      </c>
      <c r="BJ146" s="5"/>
      <c r="BK146" s="62" t="n">
        <f aca="false">C146</f>
        <v>58669</v>
      </c>
      <c r="BL146" s="67" t="n">
        <f aca="false">AI146</f>
        <v>0</v>
      </c>
    </row>
    <row r="147" customFormat="false" ht="15" hidden="false" customHeight="true" outlineLevel="0" collapsed="false">
      <c r="A147" s="3" t="n">
        <v>137</v>
      </c>
      <c r="B147" s="38" t="n">
        <f aca="false">EDATE(Inputs!$C$8,3*(A147-1))</f>
        <v>58760</v>
      </c>
      <c r="C147" s="38" t="n">
        <f aca="false">WORKDAY(B147-1,1)</f>
        <v>58760</v>
      </c>
      <c r="D147" s="61" t="b">
        <f aca="false">C147&lt;=Inputs!$C$9</f>
        <v>0</v>
      </c>
      <c r="E147" s="61" t="b">
        <f aca="false">AND(D147,NOT(D148))</f>
        <v>0</v>
      </c>
      <c r="F147" s="63" t="n">
        <f aca="false">(C147-C146)/360</f>
        <v>0.252777777777778</v>
      </c>
      <c r="G147" s="57" t="n">
        <f aca="false">Curve!D140</f>
        <v>0.02252</v>
      </c>
      <c r="H147" s="64" t="n">
        <f aca="false">AF146</f>
        <v>0</v>
      </c>
      <c r="I147" s="64" t="n">
        <f aca="false">IF(D147,H147*Inputs!$G$22,0)</f>
        <v>0</v>
      </c>
      <c r="J147" s="32" t="n">
        <f aca="false">MAX(Inputs!$G$24-(A147-1),1)</f>
        <v>1</v>
      </c>
      <c r="K147" s="64" t="n">
        <f aca="false">IF(D147,MIN(H147-I147,IF(J147&gt;1,(H147-I147)*Inputs!$G$23/((1+Inputs!$G$23)^J147-1),H147-I147)),0)</f>
        <v>0</v>
      </c>
      <c r="L147" s="64" t="n">
        <f aca="false">IF(D147,(H147-I147-K147)*Inputs!$G$21,0)</f>
        <v>0</v>
      </c>
      <c r="M147" s="64" t="n">
        <f aca="false">IF(A147&gt;Inputs!$G$13,(1-Inputs!$G$12)*INDEX($I$11:$I$190,A147-Inputs!$G$13),0)</f>
        <v>0</v>
      </c>
      <c r="N147" s="64" t="n">
        <f aca="false">IF(D147,(H147-I147)*Inputs!$G$23,0)</f>
        <v>0</v>
      </c>
      <c r="O147" s="64" t="n">
        <f aca="false">AG146</f>
        <v>0</v>
      </c>
      <c r="P147" s="64" t="n">
        <f aca="false">AH146</f>
        <v>0</v>
      </c>
      <c r="Q147" s="64" t="n">
        <f aca="false">IF(AND(D147,O147+P147&gt;0),Inputs!$C$25+Inputs!$C$26*H147/4,0)</f>
        <v>0</v>
      </c>
      <c r="R147" s="64" t="n">
        <f aca="false">O147*IF(Inputs!$G$19="",G147+Inputs!$C$13,MAX(Inputs!$G$19,G147+Inputs!$C$13))*F147</f>
        <v>0</v>
      </c>
      <c r="S147" s="64" t="n">
        <f aca="false">P147*(G147+Inputs!$C$14)*F147</f>
        <v>0</v>
      </c>
      <c r="T147" s="64" t="n">
        <f aca="false">N147+M147-Q147-R147-S147</f>
        <v>0</v>
      </c>
      <c r="U147" s="64" t="n">
        <f aca="false">W146</f>
        <v>260422.420657149</v>
      </c>
      <c r="V147" s="64" t="n">
        <f aca="false">MIN(U147+I147,MAX(T147,0))</f>
        <v>0</v>
      </c>
      <c r="W147" s="64" t="n">
        <f aca="false">U147+I147-V147</f>
        <v>260422.420657149</v>
      </c>
      <c r="X147" s="64" t="n">
        <f aca="false">K147+L147+V147+IF(E147,H147-I147-K147-L147,0)</f>
        <v>0</v>
      </c>
      <c r="Y147" s="61" t="b">
        <f aca="false">AND(Inputs!$C$21=1,O147/Inputs!$C$10&lt;=Inputs!$C$22,Inputs!$G$14&lt;Inputs!$C$23,W147&lt;1)</f>
        <v>0</v>
      </c>
      <c r="Z147" s="61" t="b">
        <f aca="false">OR(AND(Inputs!$G$15=1,H147/Inputs!$C$17&lt;=Inputs!$C$24),AND(Inputs!$G$15=2,C147&gt;=Inputs!$G$16))</f>
        <v>0</v>
      </c>
      <c r="AA147" s="61" t="b">
        <f aca="false">OR(AA146,Z147)</f>
        <v>0</v>
      </c>
      <c r="AB147" s="61" t="b">
        <f aca="false">AND(Z147,NOT(AA146),D147,O147&gt;0)</f>
        <v>0</v>
      </c>
      <c r="AC147" s="63" t="n">
        <f aca="false">IF(AND(Y147,NOT(E147),O147+P147&gt;0),O147/(O147+P147),1)</f>
        <v>1</v>
      </c>
      <c r="AD147" s="64" t="n">
        <f aca="false">IF(AB147,O147,IF(D147,MIN(O147,IF(E147,AC147*X147+BF146,BE147*Inputs!$G$20)),0))</f>
        <v>0</v>
      </c>
      <c r="AE147" s="64" t="n">
        <f aca="false">IF(AB147,P147,IF(D147,MAX(MIN(P147,X147-MIN(O147,AC147*X147)),0),0))</f>
        <v>0</v>
      </c>
      <c r="AF147" s="64" t="n">
        <f aca="false">IF(OR(AB147,E147),0,MAX(H147-I147-K147-L147,0))</f>
        <v>0</v>
      </c>
      <c r="AG147" s="64" t="n">
        <f aca="false">IF(E147,0,O147-AD147)</f>
        <v>0</v>
      </c>
      <c r="AH147" s="64" t="n">
        <f aca="false">IF(OR(AB147,E147),0,P147-AE147)</f>
        <v>0</v>
      </c>
      <c r="AI147" s="64" t="n">
        <f aca="false">IF(D147,R147+AD147,0)</f>
        <v>0</v>
      </c>
      <c r="AJ147" s="65" t="n">
        <f aca="false">(C147-Inputs!$G$6)/365</f>
        <v>34.1671232876712</v>
      </c>
      <c r="AK147" s="29" t="n">
        <f aca="false">AG147/Inputs!$C$10</f>
        <v>0</v>
      </c>
      <c r="AL147" s="5"/>
      <c r="AM147" s="66" t="n">
        <f aca="false">F147</f>
        <v>0.252777777777778</v>
      </c>
      <c r="AN147" s="5"/>
      <c r="AO147" s="5" t="n">
        <f aca="false">AO146+LN(1+($G147+AO$7)*$AM147)</f>
        <v>0.86744235889683</v>
      </c>
      <c r="AP147" s="5" t="n">
        <f aca="false">AP146+LN(1+($G147+AP$7)*$AM147)</f>
        <v>0.870884583464557</v>
      </c>
      <c r="AQ147" s="5" t="n">
        <f aca="false">AQ146+LN(1+($G147+AQ$7)*$AM147)</f>
        <v>0.981453101180355</v>
      </c>
      <c r="AR147" s="5" t="n">
        <f aca="false">AR146+LN(1+($G147+AR$7)*$AM147)</f>
        <v>0.984892457925239</v>
      </c>
      <c r="AS147" s="5" t="n">
        <f aca="false">AS146+LN(1+($G147+AS$7)*$AM147)</f>
        <v>0.982703308643325</v>
      </c>
      <c r="AT147" s="5" t="n">
        <f aca="false">AT146+LN(1+($G147+AT$7)*$AM147)</f>
        <v>0.9861426339538</v>
      </c>
      <c r="AU147" s="5" t="n">
        <f aca="false">AU146+LN(1+($G147+AU$7)*$AM147)</f>
        <v>0.98270304171214</v>
      </c>
      <c r="AV147" s="5" t="n">
        <f aca="false">AV146+LN(1+($G147+AV$7)*$AM147)</f>
        <v>0.986142367029325</v>
      </c>
      <c r="AW147" s="5" t="n">
        <f aca="false">AW146+LN(1+($G147+AW$7)*$AM147)</f>
        <v>0.982703041801661</v>
      </c>
      <c r="AX147" s="5" t="n">
        <f aca="false">AX146+LN(1+($G147+AX$7)*$AM147)</f>
        <v>0.98614236711885</v>
      </c>
      <c r="AY147" s="5" t="n">
        <f aca="false">AY146+LN(1+($G147+AY$7)*$AM147)</f>
        <v>0.982703041801643</v>
      </c>
      <c r="AZ147" s="5" t="n">
        <f aca="false">AZ146+LN(1+($G147+AZ$7)*$AM147)</f>
        <v>0.98614236711882</v>
      </c>
      <c r="BA147" s="5" t="n">
        <f aca="false">BA146+LN(1+($G147+BA$7)*$AM147)</f>
        <v>0.982703041801643</v>
      </c>
      <c r="BB147" s="5" t="n">
        <f aca="false">BB146+LN(1+($G147+BB$7)*$AM147)</f>
        <v>0.98614236711882</v>
      </c>
      <c r="BC147" s="5" t="n">
        <f aca="false">BC146+LN(1+($G147+BC$7)*$AM147)</f>
        <v>0.982703041801643</v>
      </c>
      <c r="BD147" s="5" t="n">
        <f aca="false">BD146+LN(1+($G147+BD$7)*$AM147)</f>
        <v>0.98614236711882</v>
      </c>
      <c r="BE147" s="5" t="n">
        <f aca="false">IF(AB147,O147,IF(D147,MIN(O147,AC147*X147+BF146),0))</f>
        <v>0</v>
      </c>
      <c r="BF147" s="5" t="n">
        <f aca="false">IF(OR(AB147,E147),0,BE147-AD147)</f>
        <v>0</v>
      </c>
      <c r="BG147" s="5" t="n">
        <f aca="false">BG146+LN(1+($G147+BG$7)*$AM147)</f>
        <v>0.948305031564277</v>
      </c>
      <c r="BH147" s="5"/>
      <c r="BI147" s="5" t="n">
        <f aca="false">BI146+LN(1+($G147+BI$7)*$AM147)</f>
        <v>1.01709240413492</v>
      </c>
      <c r="BJ147" s="5"/>
      <c r="BK147" s="62" t="n">
        <f aca="false">C147</f>
        <v>58760</v>
      </c>
      <c r="BL147" s="67" t="n">
        <f aca="false">AI147</f>
        <v>0</v>
      </c>
    </row>
    <row r="148" customFormat="false" ht="15" hidden="false" customHeight="true" outlineLevel="0" collapsed="false">
      <c r="A148" s="3" t="n">
        <v>138</v>
      </c>
      <c r="B148" s="38" t="n">
        <f aca="false">EDATE(Inputs!$C$8,3*(A148-1))</f>
        <v>58852</v>
      </c>
      <c r="C148" s="38" t="n">
        <f aca="false">WORKDAY(B148-1,1)</f>
        <v>58852</v>
      </c>
      <c r="D148" s="61" t="b">
        <f aca="false">C148&lt;=Inputs!$C$9</f>
        <v>0</v>
      </c>
      <c r="E148" s="61" t="b">
        <f aca="false">AND(D148,NOT(D149))</f>
        <v>0</v>
      </c>
      <c r="F148" s="63" t="n">
        <f aca="false">(C148-C147)/360</f>
        <v>0.255555555555556</v>
      </c>
      <c r="G148" s="57" t="n">
        <f aca="false">Curve!D141</f>
        <v>0.02252</v>
      </c>
      <c r="H148" s="64" t="n">
        <f aca="false">AF147</f>
        <v>0</v>
      </c>
      <c r="I148" s="64" t="n">
        <f aca="false">IF(D148,H148*Inputs!$G$22,0)</f>
        <v>0</v>
      </c>
      <c r="J148" s="32" t="n">
        <f aca="false">MAX(Inputs!$G$24-(A148-1),1)</f>
        <v>1</v>
      </c>
      <c r="K148" s="64" t="n">
        <f aca="false">IF(D148,MIN(H148-I148,IF(J148&gt;1,(H148-I148)*Inputs!$G$23/((1+Inputs!$G$23)^J148-1),H148-I148)),0)</f>
        <v>0</v>
      </c>
      <c r="L148" s="64" t="n">
        <f aca="false">IF(D148,(H148-I148-K148)*Inputs!$G$21,0)</f>
        <v>0</v>
      </c>
      <c r="M148" s="64" t="n">
        <f aca="false">IF(A148&gt;Inputs!$G$13,(1-Inputs!$G$12)*INDEX($I$11:$I$190,A148-Inputs!$G$13),0)</f>
        <v>0</v>
      </c>
      <c r="N148" s="64" t="n">
        <f aca="false">IF(D148,(H148-I148)*Inputs!$G$23,0)</f>
        <v>0</v>
      </c>
      <c r="O148" s="64" t="n">
        <f aca="false">AG147</f>
        <v>0</v>
      </c>
      <c r="P148" s="64" t="n">
        <f aca="false">AH147</f>
        <v>0</v>
      </c>
      <c r="Q148" s="64" t="n">
        <f aca="false">IF(AND(D148,O148+P148&gt;0),Inputs!$C$25+Inputs!$C$26*H148/4,0)</f>
        <v>0</v>
      </c>
      <c r="R148" s="64" t="n">
        <f aca="false">O148*IF(Inputs!$G$19="",G148+Inputs!$C$13,MAX(Inputs!$G$19,G148+Inputs!$C$13))*F148</f>
        <v>0</v>
      </c>
      <c r="S148" s="64" t="n">
        <f aca="false">P148*(G148+Inputs!$C$14)*F148</f>
        <v>0</v>
      </c>
      <c r="T148" s="64" t="n">
        <f aca="false">N148+M148-Q148-R148-S148</f>
        <v>0</v>
      </c>
      <c r="U148" s="64" t="n">
        <f aca="false">W147</f>
        <v>260422.420657149</v>
      </c>
      <c r="V148" s="64" t="n">
        <f aca="false">MIN(U148+I148,MAX(T148,0))</f>
        <v>0</v>
      </c>
      <c r="W148" s="64" t="n">
        <f aca="false">U148+I148-V148</f>
        <v>260422.420657149</v>
      </c>
      <c r="X148" s="64" t="n">
        <f aca="false">K148+L148+V148+IF(E148,H148-I148-K148-L148,0)</f>
        <v>0</v>
      </c>
      <c r="Y148" s="61" t="b">
        <f aca="false">AND(Inputs!$C$21=1,O148/Inputs!$C$10&lt;=Inputs!$C$22,Inputs!$G$14&lt;Inputs!$C$23,W148&lt;1)</f>
        <v>0</v>
      </c>
      <c r="Z148" s="61" t="b">
        <f aca="false">OR(AND(Inputs!$G$15=1,H148/Inputs!$C$17&lt;=Inputs!$C$24),AND(Inputs!$G$15=2,C148&gt;=Inputs!$G$16))</f>
        <v>0</v>
      </c>
      <c r="AA148" s="61" t="b">
        <f aca="false">OR(AA147,Z148)</f>
        <v>0</v>
      </c>
      <c r="AB148" s="61" t="b">
        <f aca="false">AND(Z148,NOT(AA147),D148,O148&gt;0)</f>
        <v>0</v>
      </c>
      <c r="AC148" s="63" t="n">
        <f aca="false">IF(AND(Y148,NOT(E148),O148+P148&gt;0),O148/(O148+P148),1)</f>
        <v>1</v>
      </c>
      <c r="AD148" s="64" t="n">
        <f aca="false">IF(AB148,O148,IF(D148,MIN(O148,IF(E148,AC148*X148+BF147,BE148*Inputs!$G$20)),0))</f>
        <v>0</v>
      </c>
      <c r="AE148" s="64" t="n">
        <f aca="false">IF(AB148,P148,IF(D148,MAX(MIN(P148,X148-MIN(O148,AC148*X148)),0),0))</f>
        <v>0</v>
      </c>
      <c r="AF148" s="64" t="n">
        <f aca="false">IF(OR(AB148,E148),0,MAX(H148-I148-K148-L148,0))</f>
        <v>0</v>
      </c>
      <c r="AG148" s="64" t="n">
        <f aca="false">IF(E148,0,O148-AD148)</f>
        <v>0</v>
      </c>
      <c r="AH148" s="64" t="n">
        <f aca="false">IF(OR(AB148,E148),0,P148-AE148)</f>
        <v>0</v>
      </c>
      <c r="AI148" s="64" t="n">
        <f aca="false">IF(D148,R148+AD148,0)</f>
        <v>0</v>
      </c>
      <c r="AJ148" s="65" t="n">
        <f aca="false">(C148-Inputs!$G$6)/365</f>
        <v>34.4191780821918</v>
      </c>
      <c r="AK148" s="29" t="n">
        <f aca="false">AG148/Inputs!$C$10</f>
        <v>0</v>
      </c>
      <c r="AL148" s="5"/>
      <c r="AM148" s="66" t="n">
        <f aca="false">F148</f>
        <v>0.255555555555556</v>
      </c>
      <c r="AN148" s="5"/>
      <c r="AO148" s="5" t="n">
        <f aca="false">AO147+LN(1+($G148+AO$7)*$AM148)</f>
        <v>0.873841396867988</v>
      </c>
      <c r="AP148" s="5" t="n">
        <f aca="false">AP147+LN(1+($G148+AP$7)*$AM148)</f>
        <v>0.877309013660021</v>
      </c>
      <c r="AQ148" s="5" t="n">
        <f aca="false">AQ147+LN(1+($G148+AQ$7)*$AM148)</f>
        <v>0.988693158007836</v>
      </c>
      <c r="AR148" s="5" t="n">
        <f aca="false">AR147+LN(1+($G148+AR$7)*$AM148)</f>
        <v>0.992157885630934</v>
      </c>
      <c r="AS148" s="5" t="n">
        <f aca="false">AS147+LN(1+($G148+AS$7)*$AM148)</f>
        <v>0.989952587795191</v>
      </c>
      <c r="AT148" s="5" t="n">
        <f aca="false">AT147+LN(1+($G148+AT$7)*$AM148)</f>
        <v>0.993417283749906</v>
      </c>
      <c r="AU148" s="5" t="n">
        <f aca="false">AU147+LN(1+($G148+AU$7)*$AM148)</f>
        <v>0.989952318894953</v>
      </c>
      <c r="AV148" s="5" t="n">
        <f aca="false">AV147+LN(1+($G148+AV$7)*$AM148)</f>
        <v>0.993417014856428</v>
      </c>
      <c r="AW148" s="5" t="n">
        <f aca="false">AW147+LN(1+($G148+AW$7)*$AM148)</f>
        <v>0.989952318985133</v>
      </c>
      <c r="AX148" s="5" t="n">
        <f aca="false">AX147+LN(1+($G148+AX$7)*$AM148)</f>
        <v>0.993417014946613</v>
      </c>
      <c r="AY148" s="5" t="n">
        <f aca="false">AY147+LN(1+($G148+AY$7)*$AM148)</f>
        <v>0.989952318985116</v>
      </c>
      <c r="AZ148" s="5" t="n">
        <f aca="false">AZ147+LN(1+($G148+AZ$7)*$AM148)</f>
        <v>0.993417014946583</v>
      </c>
      <c r="BA148" s="5" t="n">
        <f aca="false">BA147+LN(1+($G148+BA$7)*$AM148)</f>
        <v>0.989952318985116</v>
      </c>
      <c r="BB148" s="5" t="n">
        <f aca="false">BB147+LN(1+($G148+BB$7)*$AM148)</f>
        <v>0.993417014946583</v>
      </c>
      <c r="BC148" s="5" t="n">
        <f aca="false">BC147+LN(1+($G148+BC$7)*$AM148)</f>
        <v>0.989952318985116</v>
      </c>
      <c r="BD148" s="5" t="n">
        <f aca="false">BD147+LN(1+($G148+BD$7)*$AM148)</f>
        <v>0.993417014946583</v>
      </c>
      <c r="BE148" s="5" t="n">
        <f aca="false">IF(AB148,O148,IF(D148,MIN(O148,AC148*X148+BF147),0))</f>
        <v>0</v>
      </c>
      <c r="BF148" s="5" t="n">
        <f aca="false">IF(OR(AB148,E148),0,BE148-AD148)</f>
        <v>0</v>
      </c>
      <c r="BG148" s="5" t="n">
        <f aca="false">BG147+LN(1+($G148+BG$7)*$AM148)</f>
        <v>0.955300566896728</v>
      </c>
      <c r="BH148" s="5"/>
      <c r="BI148" s="5" t="n">
        <f aca="false">BI147+LN(1+($G148+BI$7)*$AM148)</f>
        <v>1.02459535880082</v>
      </c>
      <c r="BJ148" s="5"/>
      <c r="BK148" s="62" t="n">
        <f aca="false">C148</f>
        <v>58852</v>
      </c>
      <c r="BL148" s="67" t="n">
        <f aca="false">AI148</f>
        <v>0</v>
      </c>
    </row>
    <row r="149" customFormat="false" ht="15" hidden="false" customHeight="true" outlineLevel="0" collapsed="false">
      <c r="A149" s="3" t="n">
        <v>139</v>
      </c>
      <c r="B149" s="38" t="n">
        <f aca="false">EDATE(Inputs!$C$8,3*(A149-1))</f>
        <v>58941</v>
      </c>
      <c r="C149" s="38" t="n">
        <f aca="false">WORKDAY(B149-1,1)</f>
        <v>58942</v>
      </c>
      <c r="D149" s="61" t="b">
        <f aca="false">C149&lt;=Inputs!$C$9</f>
        <v>0</v>
      </c>
      <c r="E149" s="61" t="b">
        <f aca="false">AND(D149,NOT(D150))</f>
        <v>0</v>
      </c>
      <c r="F149" s="63" t="n">
        <f aca="false">(C149-C148)/360</f>
        <v>0.25</v>
      </c>
      <c r="G149" s="57" t="n">
        <f aca="false">Curve!D142</f>
        <v>0.02252</v>
      </c>
      <c r="H149" s="64" t="n">
        <f aca="false">AF148</f>
        <v>0</v>
      </c>
      <c r="I149" s="64" t="n">
        <f aca="false">IF(D149,H149*Inputs!$G$22,0)</f>
        <v>0</v>
      </c>
      <c r="J149" s="32" t="n">
        <f aca="false">MAX(Inputs!$G$24-(A149-1),1)</f>
        <v>1</v>
      </c>
      <c r="K149" s="64" t="n">
        <f aca="false">IF(D149,MIN(H149-I149,IF(J149&gt;1,(H149-I149)*Inputs!$G$23/((1+Inputs!$G$23)^J149-1),H149-I149)),0)</f>
        <v>0</v>
      </c>
      <c r="L149" s="64" t="n">
        <f aca="false">IF(D149,(H149-I149-K149)*Inputs!$G$21,0)</f>
        <v>0</v>
      </c>
      <c r="M149" s="64" t="n">
        <f aca="false">IF(A149&gt;Inputs!$G$13,(1-Inputs!$G$12)*INDEX($I$11:$I$190,A149-Inputs!$G$13),0)</f>
        <v>0</v>
      </c>
      <c r="N149" s="64" t="n">
        <f aca="false">IF(D149,(H149-I149)*Inputs!$G$23,0)</f>
        <v>0</v>
      </c>
      <c r="O149" s="64" t="n">
        <f aca="false">AG148</f>
        <v>0</v>
      </c>
      <c r="P149" s="64" t="n">
        <f aca="false">AH148</f>
        <v>0</v>
      </c>
      <c r="Q149" s="64" t="n">
        <f aca="false">IF(AND(D149,O149+P149&gt;0),Inputs!$C$25+Inputs!$C$26*H149/4,0)</f>
        <v>0</v>
      </c>
      <c r="R149" s="64" t="n">
        <f aca="false">O149*IF(Inputs!$G$19="",G149+Inputs!$C$13,MAX(Inputs!$G$19,G149+Inputs!$C$13))*F149</f>
        <v>0</v>
      </c>
      <c r="S149" s="64" t="n">
        <f aca="false">P149*(G149+Inputs!$C$14)*F149</f>
        <v>0</v>
      </c>
      <c r="T149" s="64" t="n">
        <f aca="false">N149+M149-Q149-R149-S149</f>
        <v>0</v>
      </c>
      <c r="U149" s="64" t="n">
        <f aca="false">W148</f>
        <v>260422.420657149</v>
      </c>
      <c r="V149" s="64" t="n">
        <f aca="false">MIN(U149+I149,MAX(T149,0))</f>
        <v>0</v>
      </c>
      <c r="W149" s="64" t="n">
        <f aca="false">U149+I149-V149</f>
        <v>260422.420657149</v>
      </c>
      <c r="X149" s="64" t="n">
        <f aca="false">K149+L149+V149+IF(E149,H149-I149-K149-L149,0)</f>
        <v>0</v>
      </c>
      <c r="Y149" s="61" t="b">
        <f aca="false">AND(Inputs!$C$21=1,O149/Inputs!$C$10&lt;=Inputs!$C$22,Inputs!$G$14&lt;Inputs!$C$23,W149&lt;1)</f>
        <v>0</v>
      </c>
      <c r="Z149" s="61" t="b">
        <f aca="false">OR(AND(Inputs!$G$15=1,H149/Inputs!$C$17&lt;=Inputs!$C$24),AND(Inputs!$G$15=2,C149&gt;=Inputs!$G$16))</f>
        <v>0</v>
      </c>
      <c r="AA149" s="61" t="b">
        <f aca="false">OR(AA148,Z149)</f>
        <v>0</v>
      </c>
      <c r="AB149" s="61" t="b">
        <f aca="false">AND(Z149,NOT(AA148),D149,O149&gt;0)</f>
        <v>0</v>
      </c>
      <c r="AC149" s="63" t="n">
        <f aca="false">IF(AND(Y149,NOT(E149),O149+P149&gt;0),O149/(O149+P149),1)</f>
        <v>1</v>
      </c>
      <c r="AD149" s="64" t="n">
        <f aca="false">IF(AB149,O149,IF(D149,MIN(O149,IF(E149,AC149*X149+BF148,BE149*Inputs!$G$20)),0))</f>
        <v>0</v>
      </c>
      <c r="AE149" s="64" t="n">
        <f aca="false">IF(AB149,P149,IF(D149,MAX(MIN(P149,X149-MIN(O149,AC149*X149)),0),0))</f>
        <v>0</v>
      </c>
      <c r="AF149" s="64" t="n">
        <f aca="false">IF(OR(AB149,E149),0,MAX(H149-I149-K149-L149,0))</f>
        <v>0</v>
      </c>
      <c r="AG149" s="64" t="n">
        <f aca="false">IF(E149,0,O149-AD149)</f>
        <v>0</v>
      </c>
      <c r="AH149" s="64" t="n">
        <f aca="false">IF(OR(AB149,E149),0,P149-AE149)</f>
        <v>0</v>
      </c>
      <c r="AI149" s="64" t="n">
        <f aca="false">IF(D149,R149+AD149,0)</f>
        <v>0</v>
      </c>
      <c r="AJ149" s="65" t="n">
        <f aca="false">(C149-Inputs!$G$6)/365</f>
        <v>34.6657534246575</v>
      </c>
      <c r="AK149" s="29" t="n">
        <f aca="false">AG149/Inputs!$C$10</f>
        <v>0</v>
      </c>
      <c r="AL149" s="5"/>
      <c r="AM149" s="66" t="n">
        <f aca="false">F149</f>
        <v>0.25</v>
      </c>
      <c r="AN149" s="5"/>
      <c r="AO149" s="5" t="n">
        <f aca="false">AO148+LN(1+($G149+AO$7)*$AM149)</f>
        <v>0.880101759838801</v>
      </c>
      <c r="AP149" s="5" t="n">
        <f aca="false">AP148+LN(1+($G149+AP$7)*$AM149)</f>
        <v>0.883594220302035</v>
      </c>
      <c r="AQ149" s="5" t="n">
        <f aca="false">AQ148+LN(1+($G149+AQ$7)*$AM149)</f>
        <v>0.995776378390302</v>
      </c>
      <c r="AR149" s="5" t="n">
        <f aca="false">AR148+LN(1+($G149+AR$7)*$AM149)</f>
        <v>0.999265929250465</v>
      </c>
      <c r="AS149" s="5" t="n">
        <f aca="false">AS148+LN(1+($G149+AS$7)*$AM149)</f>
        <v>0.997044831432693</v>
      </c>
      <c r="AT149" s="5" t="n">
        <f aca="false">AT148+LN(1+($G149+AT$7)*$AM149)</f>
        <v>1.00053435040049</v>
      </c>
      <c r="AU149" s="5" t="n">
        <f aca="false">AU148+LN(1+($G149+AU$7)*$AM149)</f>
        <v>0.997044560605904</v>
      </c>
      <c r="AV149" s="5" t="n">
        <f aca="false">AV148+LN(1+($G149+AV$7)*$AM149)</f>
        <v>1.00053407958051</v>
      </c>
      <c r="AW149" s="5" t="n">
        <f aca="false">AW148+LN(1+($G149+AW$7)*$AM149)</f>
        <v>0.99704456069673</v>
      </c>
      <c r="AX149" s="5" t="n">
        <f aca="false">AX148+LN(1+($G149+AX$7)*$AM149)</f>
        <v>1.00053407967134</v>
      </c>
      <c r="AY149" s="5" t="n">
        <f aca="false">AY148+LN(1+($G149+AY$7)*$AM149)</f>
        <v>0.997044560696713</v>
      </c>
      <c r="AZ149" s="5" t="n">
        <f aca="false">AZ148+LN(1+($G149+AZ$7)*$AM149)</f>
        <v>1.00053407967131</v>
      </c>
      <c r="BA149" s="5" t="n">
        <f aca="false">BA148+LN(1+($G149+BA$7)*$AM149)</f>
        <v>0.997044560696713</v>
      </c>
      <c r="BB149" s="5" t="n">
        <f aca="false">BB148+LN(1+($G149+BB$7)*$AM149)</f>
        <v>1.00053407967131</v>
      </c>
      <c r="BC149" s="5" t="n">
        <f aca="false">BC148+LN(1+($G149+BC$7)*$AM149)</f>
        <v>0.997044560696713</v>
      </c>
      <c r="BD149" s="5" t="n">
        <f aca="false">BD148+LN(1+($G149+BD$7)*$AM149)</f>
        <v>1.00053407967131</v>
      </c>
      <c r="BE149" s="5" t="n">
        <f aca="false">IF(AB149,O149,IF(D149,MIN(O149,AC149*X149+BF148),0))</f>
        <v>0</v>
      </c>
      <c r="BF149" s="5" t="n">
        <f aca="false">IF(OR(AB149,E149),0,BE149-AD149)</f>
        <v>0</v>
      </c>
      <c r="BG149" s="5" t="n">
        <f aca="false">BG148+LN(1+($G149+BG$7)*$AM149)</f>
        <v>0.962144544581141</v>
      </c>
      <c r="BH149" s="5"/>
      <c r="BI149" s="5" t="n">
        <f aca="false">BI148+LN(1+($G149+BI$7)*$AM149)</f>
        <v>1.03193580291987</v>
      </c>
      <c r="BJ149" s="5"/>
      <c r="BK149" s="62" t="n">
        <f aca="false">C149</f>
        <v>58942</v>
      </c>
      <c r="BL149" s="67" t="n">
        <f aca="false">AI149</f>
        <v>0</v>
      </c>
    </row>
    <row r="150" customFormat="false" ht="15" hidden="false" customHeight="true" outlineLevel="0" collapsed="false">
      <c r="A150" s="3" t="n">
        <v>140</v>
      </c>
      <c r="B150" s="38" t="n">
        <f aca="false">EDATE(Inputs!$C$8,3*(A150-1))</f>
        <v>59033</v>
      </c>
      <c r="C150" s="38" t="n">
        <f aca="false">WORKDAY(B150-1,1)</f>
        <v>59033</v>
      </c>
      <c r="D150" s="61" t="b">
        <f aca="false">C150&lt;=Inputs!$C$9</f>
        <v>0</v>
      </c>
      <c r="E150" s="61" t="b">
        <f aca="false">AND(D150,NOT(D151))</f>
        <v>0</v>
      </c>
      <c r="F150" s="63" t="n">
        <f aca="false">(C150-C149)/360</f>
        <v>0.252777777777778</v>
      </c>
      <c r="G150" s="57" t="n">
        <f aca="false">Curve!D143</f>
        <v>0.02252</v>
      </c>
      <c r="H150" s="64" t="n">
        <f aca="false">AF149</f>
        <v>0</v>
      </c>
      <c r="I150" s="64" t="n">
        <f aca="false">IF(D150,H150*Inputs!$G$22,0)</f>
        <v>0</v>
      </c>
      <c r="J150" s="32" t="n">
        <f aca="false">MAX(Inputs!$G$24-(A150-1),1)</f>
        <v>1</v>
      </c>
      <c r="K150" s="64" t="n">
        <f aca="false">IF(D150,MIN(H150-I150,IF(J150&gt;1,(H150-I150)*Inputs!$G$23/((1+Inputs!$G$23)^J150-1),H150-I150)),0)</f>
        <v>0</v>
      </c>
      <c r="L150" s="64" t="n">
        <f aca="false">IF(D150,(H150-I150-K150)*Inputs!$G$21,0)</f>
        <v>0</v>
      </c>
      <c r="M150" s="64" t="n">
        <f aca="false">IF(A150&gt;Inputs!$G$13,(1-Inputs!$G$12)*INDEX($I$11:$I$190,A150-Inputs!$G$13),0)</f>
        <v>0</v>
      </c>
      <c r="N150" s="64" t="n">
        <f aca="false">IF(D150,(H150-I150)*Inputs!$G$23,0)</f>
        <v>0</v>
      </c>
      <c r="O150" s="64" t="n">
        <f aca="false">AG149</f>
        <v>0</v>
      </c>
      <c r="P150" s="64" t="n">
        <f aca="false">AH149</f>
        <v>0</v>
      </c>
      <c r="Q150" s="64" t="n">
        <f aca="false">IF(AND(D150,O150+P150&gt;0),Inputs!$C$25+Inputs!$C$26*H150/4,0)</f>
        <v>0</v>
      </c>
      <c r="R150" s="64" t="n">
        <f aca="false">O150*IF(Inputs!$G$19="",G150+Inputs!$C$13,MAX(Inputs!$G$19,G150+Inputs!$C$13))*F150</f>
        <v>0</v>
      </c>
      <c r="S150" s="64" t="n">
        <f aca="false">P150*(G150+Inputs!$C$14)*F150</f>
        <v>0</v>
      </c>
      <c r="T150" s="64" t="n">
        <f aca="false">N150+M150-Q150-R150-S150</f>
        <v>0</v>
      </c>
      <c r="U150" s="64" t="n">
        <f aca="false">W149</f>
        <v>260422.420657149</v>
      </c>
      <c r="V150" s="64" t="n">
        <f aca="false">MIN(U150+I150,MAX(T150,0))</f>
        <v>0</v>
      </c>
      <c r="W150" s="64" t="n">
        <f aca="false">U150+I150-V150</f>
        <v>260422.420657149</v>
      </c>
      <c r="X150" s="64" t="n">
        <f aca="false">K150+L150+V150+IF(E150,H150-I150-K150-L150,0)</f>
        <v>0</v>
      </c>
      <c r="Y150" s="61" t="b">
        <f aca="false">AND(Inputs!$C$21=1,O150/Inputs!$C$10&lt;=Inputs!$C$22,Inputs!$G$14&lt;Inputs!$C$23,W150&lt;1)</f>
        <v>0</v>
      </c>
      <c r="Z150" s="61" t="b">
        <f aca="false">OR(AND(Inputs!$G$15=1,H150/Inputs!$C$17&lt;=Inputs!$C$24),AND(Inputs!$G$15=2,C150&gt;=Inputs!$G$16))</f>
        <v>0</v>
      </c>
      <c r="AA150" s="61" t="b">
        <f aca="false">OR(AA149,Z150)</f>
        <v>0</v>
      </c>
      <c r="AB150" s="61" t="b">
        <f aca="false">AND(Z150,NOT(AA149),D150,O150&gt;0)</f>
        <v>0</v>
      </c>
      <c r="AC150" s="63" t="n">
        <f aca="false">IF(AND(Y150,NOT(E150),O150+P150&gt;0),O150/(O150+P150),1)</f>
        <v>1</v>
      </c>
      <c r="AD150" s="64" t="n">
        <f aca="false">IF(AB150,O150,IF(D150,MIN(O150,IF(E150,AC150*X150+BF149,BE150*Inputs!$G$20)),0))</f>
        <v>0</v>
      </c>
      <c r="AE150" s="64" t="n">
        <f aca="false">IF(AB150,P150,IF(D150,MAX(MIN(P150,X150-MIN(O150,AC150*X150)),0),0))</f>
        <v>0</v>
      </c>
      <c r="AF150" s="64" t="n">
        <f aca="false">IF(OR(AB150,E150),0,MAX(H150-I150-K150-L150,0))</f>
        <v>0</v>
      </c>
      <c r="AG150" s="64" t="n">
        <f aca="false">IF(E150,0,O150-AD150)</f>
        <v>0</v>
      </c>
      <c r="AH150" s="64" t="n">
        <f aca="false">IF(OR(AB150,E150),0,P150-AE150)</f>
        <v>0</v>
      </c>
      <c r="AI150" s="64" t="n">
        <f aca="false">IF(D150,R150+AD150,0)</f>
        <v>0</v>
      </c>
      <c r="AJ150" s="65" t="n">
        <f aca="false">(C150-Inputs!$G$6)/365</f>
        <v>34.9150684931507</v>
      </c>
      <c r="AK150" s="29" t="n">
        <f aca="false">AG150/Inputs!$C$10</f>
        <v>0</v>
      </c>
      <c r="AL150" s="5"/>
      <c r="AM150" s="66" t="n">
        <f aca="false">F150</f>
        <v>0.252777777777778</v>
      </c>
      <c r="AN150" s="5"/>
      <c r="AO150" s="5" t="n">
        <f aca="false">AO149+LN(1+($G150+AO$7)*$AM150)</f>
        <v>0.886431462713631</v>
      </c>
      <c r="AP150" s="5" t="n">
        <f aca="false">AP149+LN(1+($G150+AP$7)*$AM150)</f>
        <v>0.889949041143674</v>
      </c>
      <c r="AQ150" s="5" t="n">
        <f aca="false">AQ149+LN(1+($G150+AQ$7)*$AM150)</f>
        <v>1.00293802006999</v>
      </c>
      <c r="AR150" s="5" t="n">
        <f aca="false">AR149+LN(1+($G150+AR$7)*$AM150)</f>
        <v>1.0064526680093</v>
      </c>
      <c r="AS150" s="5" t="n">
        <f aca="false">AS149+LN(1+($G150+AS$7)*$AM150)</f>
        <v>1.0042155959099</v>
      </c>
      <c r="AT150" s="5" t="n">
        <f aca="false">AT149+LN(1+($G150+AT$7)*$AM150)</f>
        <v>1.00773021172789</v>
      </c>
      <c r="AU150" s="5" t="n">
        <f aca="false">AU149+LN(1+($G150+AU$7)*$AM150)</f>
        <v>1.0042153231353</v>
      </c>
      <c r="AV150" s="5" t="n">
        <f aca="false">AV149+LN(1+($G150+AV$7)*$AM150)</f>
        <v>1.00772993896015</v>
      </c>
      <c r="AW150" s="5" t="n">
        <f aca="false">AW149+LN(1+($G150+AW$7)*$AM150)</f>
        <v>1.00421532322678</v>
      </c>
      <c r="AX150" s="5" t="n">
        <f aca="false">AX149+LN(1+($G150+AX$7)*$AM150)</f>
        <v>1.00772993905164</v>
      </c>
      <c r="AY150" s="5" t="n">
        <f aca="false">AY149+LN(1+($G150+AY$7)*$AM150)</f>
        <v>1.00421532322677</v>
      </c>
      <c r="AZ150" s="5" t="n">
        <f aca="false">AZ149+LN(1+($G150+AZ$7)*$AM150)</f>
        <v>1.00772993905161</v>
      </c>
      <c r="BA150" s="5" t="n">
        <f aca="false">BA149+LN(1+($G150+BA$7)*$AM150)</f>
        <v>1.00421532322677</v>
      </c>
      <c r="BB150" s="5" t="n">
        <f aca="false">BB149+LN(1+($G150+BB$7)*$AM150)</f>
        <v>1.00772993905161</v>
      </c>
      <c r="BC150" s="5" t="n">
        <f aca="false">BC149+LN(1+($G150+BC$7)*$AM150)</f>
        <v>1.00421532322677</v>
      </c>
      <c r="BD150" s="5" t="n">
        <f aca="false">BD149+LN(1+($G150+BD$7)*$AM150)</f>
        <v>1.00772993905161</v>
      </c>
      <c r="BE150" s="5" t="n">
        <f aca="false">IF(AB150,O150,IF(D150,MIN(O150,AC150*X150+BF149),0))</f>
        <v>0</v>
      </c>
      <c r="BF150" s="5" t="n">
        <f aca="false">IF(OR(AB150,E150),0,BE150-AD150)</f>
        <v>0</v>
      </c>
      <c r="BG150" s="5" t="n">
        <f aca="false">BG149+LN(1+($G150+BG$7)*$AM150)</f>
        <v>0.969064303960788</v>
      </c>
      <c r="BH150" s="5"/>
      <c r="BI150" s="5" t="n">
        <f aca="false">BI149+LN(1+($G150+BI$7)*$AM150)</f>
        <v>1.03935750561355</v>
      </c>
      <c r="BJ150" s="5"/>
      <c r="BK150" s="62" t="n">
        <f aca="false">C150</f>
        <v>59033</v>
      </c>
      <c r="BL150" s="67" t="n">
        <f aca="false">AI150</f>
        <v>0</v>
      </c>
    </row>
    <row r="151" customFormat="false" ht="15" hidden="false" customHeight="true" outlineLevel="0" collapsed="false">
      <c r="A151" s="3" t="n">
        <v>141</v>
      </c>
      <c r="B151" s="38" t="n">
        <f aca="false">EDATE(Inputs!$C$8,3*(A151-1))</f>
        <v>59125</v>
      </c>
      <c r="C151" s="38" t="n">
        <f aca="false">WORKDAY(B151-1,1)</f>
        <v>59125</v>
      </c>
      <c r="D151" s="61" t="b">
        <f aca="false">C151&lt;=Inputs!$C$9</f>
        <v>0</v>
      </c>
      <c r="E151" s="61" t="b">
        <f aca="false">AND(D151,NOT(D152))</f>
        <v>0</v>
      </c>
      <c r="F151" s="63" t="n">
        <f aca="false">(C151-C150)/360</f>
        <v>0.255555555555556</v>
      </c>
      <c r="G151" s="57" t="n">
        <f aca="false">Curve!D144</f>
        <v>0.02252</v>
      </c>
      <c r="H151" s="64" t="n">
        <f aca="false">AF150</f>
        <v>0</v>
      </c>
      <c r="I151" s="64" t="n">
        <f aca="false">IF(D151,H151*Inputs!$G$22,0)</f>
        <v>0</v>
      </c>
      <c r="J151" s="32" t="n">
        <f aca="false">MAX(Inputs!$G$24-(A151-1),1)</f>
        <v>1</v>
      </c>
      <c r="K151" s="64" t="n">
        <f aca="false">IF(D151,MIN(H151-I151,IF(J151&gt;1,(H151-I151)*Inputs!$G$23/((1+Inputs!$G$23)^J151-1),H151-I151)),0)</f>
        <v>0</v>
      </c>
      <c r="L151" s="64" t="n">
        <f aca="false">IF(D151,(H151-I151-K151)*Inputs!$G$21,0)</f>
        <v>0</v>
      </c>
      <c r="M151" s="64" t="n">
        <f aca="false">IF(A151&gt;Inputs!$G$13,(1-Inputs!$G$12)*INDEX($I$11:$I$190,A151-Inputs!$G$13),0)</f>
        <v>0</v>
      </c>
      <c r="N151" s="64" t="n">
        <f aca="false">IF(D151,(H151-I151)*Inputs!$G$23,0)</f>
        <v>0</v>
      </c>
      <c r="O151" s="64" t="n">
        <f aca="false">AG150</f>
        <v>0</v>
      </c>
      <c r="P151" s="64" t="n">
        <f aca="false">AH150</f>
        <v>0</v>
      </c>
      <c r="Q151" s="64" t="n">
        <f aca="false">IF(AND(D151,O151+P151&gt;0),Inputs!$C$25+Inputs!$C$26*H151/4,0)</f>
        <v>0</v>
      </c>
      <c r="R151" s="64" t="n">
        <f aca="false">O151*IF(Inputs!$G$19="",G151+Inputs!$C$13,MAX(Inputs!$G$19,G151+Inputs!$C$13))*F151</f>
        <v>0</v>
      </c>
      <c r="S151" s="64" t="n">
        <f aca="false">P151*(G151+Inputs!$C$14)*F151</f>
        <v>0</v>
      </c>
      <c r="T151" s="64" t="n">
        <f aca="false">N151+M151-Q151-R151-S151</f>
        <v>0</v>
      </c>
      <c r="U151" s="64" t="n">
        <f aca="false">W150</f>
        <v>260422.420657149</v>
      </c>
      <c r="V151" s="64" t="n">
        <f aca="false">MIN(U151+I151,MAX(T151,0))</f>
        <v>0</v>
      </c>
      <c r="W151" s="64" t="n">
        <f aca="false">U151+I151-V151</f>
        <v>260422.420657149</v>
      </c>
      <c r="X151" s="64" t="n">
        <f aca="false">K151+L151+V151+IF(E151,H151-I151-K151-L151,0)</f>
        <v>0</v>
      </c>
      <c r="Y151" s="61" t="b">
        <f aca="false">AND(Inputs!$C$21=1,O151/Inputs!$C$10&lt;=Inputs!$C$22,Inputs!$G$14&lt;Inputs!$C$23,W151&lt;1)</f>
        <v>0</v>
      </c>
      <c r="Z151" s="61" t="b">
        <f aca="false">OR(AND(Inputs!$G$15=1,H151/Inputs!$C$17&lt;=Inputs!$C$24),AND(Inputs!$G$15=2,C151&gt;=Inputs!$G$16))</f>
        <v>0</v>
      </c>
      <c r="AA151" s="61" t="b">
        <f aca="false">OR(AA150,Z151)</f>
        <v>0</v>
      </c>
      <c r="AB151" s="61" t="b">
        <f aca="false">AND(Z151,NOT(AA150),D151,O151&gt;0)</f>
        <v>0</v>
      </c>
      <c r="AC151" s="63" t="n">
        <f aca="false">IF(AND(Y151,NOT(E151),O151+P151&gt;0),O151/(O151+P151),1)</f>
        <v>1</v>
      </c>
      <c r="AD151" s="64" t="n">
        <f aca="false">IF(AB151,O151,IF(D151,MIN(O151,IF(E151,AC151*X151+BF150,BE151*Inputs!$G$20)),0))</f>
        <v>0</v>
      </c>
      <c r="AE151" s="64" t="n">
        <f aca="false">IF(AB151,P151,IF(D151,MAX(MIN(P151,X151-MIN(O151,AC151*X151)),0),0))</f>
        <v>0</v>
      </c>
      <c r="AF151" s="64" t="n">
        <f aca="false">IF(OR(AB151,E151),0,MAX(H151-I151-K151-L151,0))</f>
        <v>0</v>
      </c>
      <c r="AG151" s="64" t="n">
        <f aca="false">IF(E151,0,O151-AD151)</f>
        <v>0</v>
      </c>
      <c r="AH151" s="64" t="n">
        <f aca="false">IF(OR(AB151,E151),0,P151-AE151)</f>
        <v>0</v>
      </c>
      <c r="AI151" s="64" t="n">
        <f aca="false">IF(D151,R151+AD151,0)</f>
        <v>0</v>
      </c>
      <c r="AJ151" s="65" t="n">
        <f aca="false">(C151-Inputs!$G$6)/365</f>
        <v>35.1671232876712</v>
      </c>
      <c r="AK151" s="29" t="n">
        <f aca="false">AG151/Inputs!$C$10</f>
        <v>0</v>
      </c>
      <c r="AL151" s="5"/>
      <c r="AM151" s="66" t="n">
        <f aca="false">F151</f>
        <v>0.255555555555556</v>
      </c>
      <c r="AN151" s="5"/>
      <c r="AO151" s="5" t="n">
        <f aca="false">AO150+LN(1+($G151+AO$7)*$AM151)</f>
        <v>0.892830500684789</v>
      </c>
      <c r="AP151" s="5" t="n">
        <f aca="false">AP150+LN(1+($G151+AP$7)*$AM151)</f>
        <v>0.896373471339137</v>
      </c>
      <c r="AQ151" s="5" t="n">
        <f aca="false">AQ150+LN(1+($G151+AQ$7)*$AM151)</f>
        <v>1.01017807689747</v>
      </c>
      <c r="AR151" s="5" t="n">
        <f aca="false">AR150+LN(1+($G151+AR$7)*$AM151)</f>
        <v>1.01371809571499</v>
      </c>
      <c r="AS151" s="5" t="n">
        <f aca="false">AS150+LN(1+($G151+AS$7)*$AM151)</f>
        <v>1.01146487506176</v>
      </c>
      <c r="AT151" s="5" t="n">
        <f aca="false">AT150+LN(1+($G151+AT$7)*$AM151)</f>
        <v>1.015004861524</v>
      </c>
      <c r="AU151" s="5" t="n">
        <f aca="false">AU150+LN(1+($G151+AU$7)*$AM151)</f>
        <v>1.01146460031812</v>
      </c>
      <c r="AV151" s="5" t="n">
        <f aca="false">AV150+LN(1+($G151+AV$7)*$AM151)</f>
        <v>1.01500458678726</v>
      </c>
      <c r="AW151" s="5" t="n">
        <f aca="false">AW150+LN(1+($G151+AW$7)*$AM151)</f>
        <v>1.01146460041026</v>
      </c>
      <c r="AX151" s="5" t="n">
        <f aca="false">AX150+LN(1+($G151+AX$7)*$AM151)</f>
        <v>1.0150045868794</v>
      </c>
      <c r="AY151" s="5" t="n">
        <f aca="false">AY150+LN(1+($G151+AY$7)*$AM151)</f>
        <v>1.01146460041024</v>
      </c>
      <c r="AZ151" s="5" t="n">
        <f aca="false">AZ150+LN(1+($G151+AZ$7)*$AM151)</f>
        <v>1.01500458687937</v>
      </c>
      <c r="BA151" s="5" t="n">
        <f aca="false">BA150+LN(1+($G151+BA$7)*$AM151)</f>
        <v>1.01146460041024</v>
      </c>
      <c r="BB151" s="5" t="n">
        <f aca="false">BB150+LN(1+($G151+BB$7)*$AM151)</f>
        <v>1.01500458687937</v>
      </c>
      <c r="BC151" s="5" t="n">
        <f aca="false">BC150+LN(1+($G151+BC$7)*$AM151)</f>
        <v>1.01146460041024</v>
      </c>
      <c r="BD151" s="5" t="n">
        <f aca="false">BD150+LN(1+($G151+BD$7)*$AM151)</f>
        <v>1.01500458687937</v>
      </c>
      <c r="BE151" s="5" t="n">
        <f aca="false">IF(AB151,O151,IF(D151,MIN(O151,AC151*X151+BF150),0))</f>
        <v>0</v>
      </c>
      <c r="BF151" s="5" t="n">
        <f aca="false">IF(OR(AB151,E151),0,BE151-AD151)</f>
        <v>0</v>
      </c>
      <c r="BG151" s="5" t="n">
        <f aca="false">BG150+LN(1+($G151+BG$7)*$AM151)</f>
        <v>0.976059839293239</v>
      </c>
      <c r="BH151" s="5"/>
      <c r="BI151" s="5" t="n">
        <f aca="false">BI150+LN(1+($G151+BI$7)*$AM151)</f>
        <v>1.04686046027945</v>
      </c>
      <c r="BJ151" s="5"/>
      <c r="BK151" s="62" t="n">
        <f aca="false">C151</f>
        <v>59125</v>
      </c>
      <c r="BL151" s="67" t="n">
        <f aca="false">AI151</f>
        <v>0</v>
      </c>
    </row>
    <row r="152" customFormat="false" ht="15" hidden="false" customHeight="true" outlineLevel="0" collapsed="false">
      <c r="A152" s="3" t="n">
        <v>142</v>
      </c>
      <c r="B152" s="38" t="n">
        <f aca="false">EDATE(Inputs!$C$8,3*(A152-1))</f>
        <v>59217</v>
      </c>
      <c r="C152" s="38" t="n">
        <f aca="false">WORKDAY(B152-1,1)</f>
        <v>59217</v>
      </c>
      <c r="D152" s="61" t="b">
        <f aca="false">C152&lt;=Inputs!$C$9</f>
        <v>0</v>
      </c>
      <c r="E152" s="61" t="b">
        <f aca="false">AND(D152,NOT(D153))</f>
        <v>0</v>
      </c>
      <c r="F152" s="63" t="n">
        <f aca="false">(C152-C151)/360</f>
        <v>0.255555555555556</v>
      </c>
      <c r="G152" s="57" t="n">
        <f aca="false">Curve!D145</f>
        <v>0.02252</v>
      </c>
      <c r="H152" s="64" t="n">
        <f aca="false">AF151</f>
        <v>0</v>
      </c>
      <c r="I152" s="64" t="n">
        <f aca="false">IF(D152,H152*Inputs!$G$22,0)</f>
        <v>0</v>
      </c>
      <c r="J152" s="32" t="n">
        <f aca="false">MAX(Inputs!$G$24-(A152-1),1)</f>
        <v>1</v>
      </c>
      <c r="K152" s="64" t="n">
        <f aca="false">IF(D152,MIN(H152-I152,IF(J152&gt;1,(H152-I152)*Inputs!$G$23/((1+Inputs!$G$23)^J152-1),H152-I152)),0)</f>
        <v>0</v>
      </c>
      <c r="L152" s="64" t="n">
        <f aca="false">IF(D152,(H152-I152-K152)*Inputs!$G$21,0)</f>
        <v>0</v>
      </c>
      <c r="M152" s="64" t="n">
        <f aca="false">IF(A152&gt;Inputs!$G$13,(1-Inputs!$G$12)*INDEX($I$11:$I$190,A152-Inputs!$G$13),0)</f>
        <v>0</v>
      </c>
      <c r="N152" s="64" t="n">
        <f aca="false">IF(D152,(H152-I152)*Inputs!$G$23,0)</f>
        <v>0</v>
      </c>
      <c r="O152" s="64" t="n">
        <f aca="false">AG151</f>
        <v>0</v>
      </c>
      <c r="P152" s="64" t="n">
        <f aca="false">AH151</f>
        <v>0</v>
      </c>
      <c r="Q152" s="64" t="n">
        <f aca="false">IF(AND(D152,O152+P152&gt;0),Inputs!$C$25+Inputs!$C$26*H152/4,0)</f>
        <v>0</v>
      </c>
      <c r="R152" s="64" t="n">
        <f aca="false">O152*IF(Inputs!$G$19="",G152+Inputs!$C$13,MAX(Inputs!$G$19,G152+Inputs!$C$13))*F152</f>
        <v>0</v>
      </c>
      <c r="S152" s="64" t="n">
        <f aca="false">P152*(G152+Inputs!$C$14)*F152</f>
        <v>0</v>
      </c>
      <c r="T152" s="64" t="n">
        <f aca="false">N152+M152-Q152-R152-S152</f>
        <v>0</v>
      </c>
      <c r="U152" s="64" t="n">
        <f aca="false">W151</f>
        <v>260422.420657149</v>
      </c>
      <c r="V152" s="64" t="n">
        <f aca="false">MIN(U152+I152,MAX(T152,0))</f>
        <v>0</v>
      </c>
      <c r="W152" s="64" t="n">
        <f aca="false">U152+I152-V152</f>
        <v>260422.420657149</v>
      </c>
      <c r="X152" s="64" t="n">
        <f aca="false">K152+L152+V152+IF(E152,H152-I152-K152-L152,0)</f>
        <v>0</v>
      </c>
      <c r="Y152" s="61" t="b">
        <f aca="false">AND(Inputs!$C$21=1,O152/Inputs!$C$10&lt;=Inputs!$C$22,Inputs!$G$14&lt;Inputs!$C$23,W152&lt;1)</f>
        <v>0</v>
      </c>
      <c r="Z152" s="61" t="b">
        <f aca="false">OR(AND(Inputs!$G$15=1,H152/Inputs!$C$17&lt;=Inputs!$C$24),AND(Inputs!$G$15=2,C152&gt;=Inputs!$G$16))</f>
        <v>0</v>
      </c>
      <c r="AA152" s="61" t="b">
        <f aca="false">OR(AA151,Z152)</f>
        <v>0</v>
      </c>
      <c r="AB152" s="61" t="b">
        <f aca="false">AND(Z152,NOT(AA151),D152,O152&gt;0)</f>
        <v>0</v>
      </c>
      <c r="AC152" s="63" t="n">
        <f aca="false">IF(AND(Y152,NOT(E152),O152+P152&gt;0),O152/(O152+P152),1)</f>
        <v>1</v>
      </c>
      <c r="AD152" s="64" t="n">
        <f aca="false">IF(AB152,O152,IF(D152,MIN(O152,IF(E152,AC152*X152+BF151,BE152*Inputs!$G$20)),0))</f>
        <v>0</v>
      </c>
      <c r="AE152" s="64" t="n">
        <f aca="false">IF(AB152,P152,IF(D152,MAX(MIN(P152,X152-MIN(O152,AC152*X152)),0),0))</f>
        <v>0</v>
      </c>
      <c r="AF152" s="64" t="n">
        <f aca="false">IF(OR(AB152,E152),0,MAX(H152-I152-K152-L152,0))</f>
        <v>0</v>
      </c>
      <c r="AG152" s="64" t="n">
        <f aca="false">IF(E152,0,O152-AD152)</f>
        <v>0</v>
      </c>
      <c r="AH152" s="64" t="n">
        <f aca="false">IF(OR(AB152,E152),0,P152-AE152)</f>
        <v>0</v>
      </c>
      <c r="AI152" s="64" t="n">
        <f aca="false">IF(D152,R152+AD152,0)</f>
        <v>0</v>
      </c>
      <c r="AJ152" s="65" t="n">
        <f aca="false">(C152-Inputs!$G$6)/365</f>
        <v>35.4191780821918</v>
      </c>
      <c r="AK152" s="29" t="n">
        <f aca="false">AG152/Inputs!$C$10</f>
        <v>0</v>
      </c>
      <c r="AL152" s="5"/>
      <c r="AM152" s="66" t="n">
        <f aca="false">F152</f>
        <v>0.255555555555556</v>
      </c>
      <c r="AN152" s="5"/>
      <c r="AO152" s="5" t="n">
        <f aca="false">AO151+LN(1+($G152+AO$7)*$AM152)</f>
        <v>0.899229538655946</v>
      </c>
      <c r="AP152" s="5" t="n">
        <f aca="false">AP151+LN(1+($G152+AP$7)*$AM152)</f>
        <v>0.902797901534601</v>
      </c>
      <c r="AQ152" s="5" t="n">
        <f aca="false">AQ151+LN(1+($G152+AQ$7)*$AM152)</f>
        <v>1.01741813372495</v>
      </c>
      <c r="AR152" s="5" t="n">
        <f aca="false">AR151+LN(1+($G152+AR$7)*$AM152)</f>
        <v>1.02098352342069</v>
      </c>
      <c r="AS152" s="5" t="n">
        <f aca="false">AS151+LN(1+($G152+AS$7)*$AM152)</f>
        <v>1.01871415421363</v>
      </c>
      <c r="AT152" s="5" t="n">
        <f aca="false">AT151+LN(1+($G152+AT$7)*$AM152)</f>
        <v>1.0222795113201</v>
      </c>
      <c r="AU152" s="5" t="n">
        <f aca="false">AU151+LN(1+($G152+AU$7)*$AM152)</f>
        <v>1.01871387750093</v>
      </c>
      <c r="AV152" s="5" t="n">
        <f aca="false">AV151+LN(1+($G152+AV$7)*$AM152)</f>
        <v>1.02227923461436</v>
      </c>
      <c r="AW152" s="5" t="n">
        <f aca="false">AW151+LN(1+($G152+AW$7)*$AM152)</f>
        <v>1.01871387759373</v>
      </c>
      <c r="AX152" s="5" t="n">
        <f aca="false">AX151+LN(1+($G152+AX$7)*$AM152)</f>
        <v>1.02227923470716</v>
      </c>
      <c r="AY152" s="5" t="n">
        <f aca="false">AY151+LN(1+($G152+AY$7)*$AM152)</f>
        <v>1.01871387759371</v>
      </c>
      <c r="AZ152" s="5" t="n">
        <f aca="false">AZ151+LN(1+($G152+AZ$7)*$AM152)</f>
        <v>1.02227923470713</v>
      </c>
      <c r="BA152" s="5" t="n">
        <f aca="false">BA151+LN(1+($G152+BA$7)*$AM152)</f>
        <v>1.01871387759371</v>
      </c>
      <c r="BB152" s="5" t="n">
        <f aca="false">BB151+LN(1+($G152+BB$7)*$AM152)</f>
        <v>1.02227923470713</v>
      </c>
      <c r="BC152" s="5" t="n">
        <f aca="false">BC151+LN(1+($G152+BC$7)*$AM152)</f>
        <v>1.01871387759371</v>
      </c>
      <c r="BD152" s="5" t="n">
        <f aca="false">BD151+LN(1+($G152+BD$7)*$AM152)</f>
        <v>1.02227923470713</v>
      </c>
      <c r="BE152" s="5" t="n">
        <f aca="false">IF(AB152,O152,IF(D152,MIN(O152,AC152*X152+BF151),0))</f>
        <v>0</v>
      </c>
      <c r="BF152" s="5" t="n">
        <f aca="false">IF(OR(AB152,E152),0,BE152-AD152)</f>
        <v>0</v>
      </c>
      <c r="BG152" s="5" t="n">
        <f aca="false">BG151+LN(1+($G152+BG$7)*$AM152)</f>
        <v>0.983055374625689</v>
      </c>
      <c r="BH152" s="5"/>
      <c r="BI152" s="5" t="n">
        <f aca="false">BI151+LN(1+($G152+BI$7)*$AM152)</f>
        <v>1.05436341494535</v>
      </c>
      <c r="BJ152" s="5"/>
      <c r="BK152" s="62" t="n">
        <f aca="false">C152</f>
        <v>59217</v>
      </c>
      <c r="BL152" s="67" t="n">
        <f aca="false">AI152</f>
        <v>0</v>
      </c>
    </row>
    <row r="153" customFormat="false" ht="15" hidden="false" customHeight="true" outlineLevel="0" collapsed="false">
      <c r="A153" s="3" t="n">
        <v>143</v>
      </c>
      <c r="B153" s="38" t="n">
        <f aca="false">EDATE(Inputs!$C$8,3*(A153-1))</f>
        <v>59306</v>
      </c>
      <c r="C153" s="38" t="n">
        <f aca="false">WORKDAY(B153-1,1)</f>
        <v>59306</v>
      </c>
      <c r="D153" s="61" t="b">
        <f aca="false">C153&lt;=Inputs!$C$9</f>
        <v>0</v>
      </c>
      <c r="E153" s="61" t="b">
        <f aca="false">AND(D153,NOT(D154))</f>
        <v>0</v>
      </c>
      <c r="F153" s="63" t="n">
        <f aca="false">(C153-C152)/360</f>
        <v>0.247222222222222</v>
      </c>
      <c r="G153" s="57" t="n">
        <f aca="false">Curve!D146</f>
        <v>0.02252</v>
      </c>
      <c r="H153" s="64" t="n">
        <f aca="false">AF152</f>
        <v>0</v>
      </c>
      <c r="I153" s="64" t="n">
        <f aca="false">IF(D153,H153*Inputs!$G$22,0)</f>
        <v>0</v>
      </c>
      <c r="J153" s="32" t="n">
        <f aca="false">MAX(Inputs!$G$24-(A153-1),1)</f>
        <v>1</v>
      </c>
      <c r="K153" s="64" t="n">
        <f aca="false">IF(D153,MIN(H153-I153,IF(J153&gt;1,(H153-I153)*Inputs!$G$23/((1+Inputs!$G$23)^J153-1),H153-I153)),0)</f>
        <v>0</v>
      </c>
      <c r="L153" s="64" t="n">
        <f aca="false">IF(D153,(H153-I153-K153)*Inputs!$G$21,0)</f>
        <v>0</v>
      </c>
      <c r="M153" s="64" t="n">
        <f aca="false">IF(A153&gt;Inputs!$G$13,(1-Inputs!$G$12)*INDEX($I$11:$I$190,A153-Inputs!$G$13),0)</f>
        <v>0</v>
      </c>
      <c r="N153" s="64" t="n">
        <f aca="false">IF(D153,(H153-I153)*Inputs!$G$23,0)</f>
        <v>0</v>
      </c>
      <c r="O153" s="64" t="n">
        <f aca="false">AG152</f>
        <v>0</v>
      </c>
      <c r="P153" s="64" t="n">
        <f aca="false">AH152</f>
        <v>0</v>
      </c>
      <c r="Q153" s="64" t="n">
        <f aca="false">IF(AND(D153,O153+P153&gt;0),Inputs!$C$25+Inputs!$C$26*H153/4,0)</f>
        <v>0</v>
      </c>
      <c r="R153" s="64" t="n">
        <f aca="false">O153*IF(Inputs!$G$19="",G153+Inputs!$C$13,MAX(Inputs!$G$19,G153+Inputs!$C$13))*F153</f>
        <v>0</v>
      </c>
      <c r="S153" s="64" t="n">
        <f aca="false">P153*(G153+Inputs!$C$14)*F153</f>
        <v>0</v>
      </c>
      <c r="T153" s="64" t="n">
        <f aca="false">N153+M153-Q153-R153-S153</f>
        <v>0</v>
      </c>
      <c r="U153" s="64" t="n">
        <f aca="false">W152</f>
        <v>260422.420657149</v>
      </c>
      <c r="V153" s="64" t="n">
        <f aca="false">MIN(U153+I153,MAX(T153,0))</f>
        <v>0</v>
      </c>
      <c r="W153" s="64" t="n">
        <f aca="false">U153+I153-V153</f>
        <v>260422.420657149</v>
      </c>
      <c r="X153" s="64" t="n">
        <f aca="false">K153+L153+V153+IF(E153,H153-I153-K153-L153,0)</f>
        <v>0</v>
      </c>
      <c r="Y153" s="61" t="b">
        <f aca="false">AND(Inputs!$C$21=1,O153/Inputs!$C$10&lt;=Inputs!$C$22,Inputs!$G$14&lt;Inputs!$C$23,W153&lt;1)</f>
        <v>0</v>
      </c>
      <c r="Z153" s="61" t="b">
        <f aca="false">OR(AND(Inputs!$G$15=1,H153/Inputs!$C$17&lt;=Inputs!$C$24),AND(Inputs!$G$15=2,C153&gt;=Inputs!$G$16))</f>
        <v>0</v>
      </c>
      <c r="AA153" s="61" t="b">
        <f aca="false">OR(AA152,Z153)</f>
        <v>0</v>
      </c>
      <c r="AB153" s="61" t="b">
        <f aca="false">AND(Z153,NOT(AA152),D153,O153&gt;0)</f>
        <v>0</v>
      </c>
      <c r="AC153" s="63" t="n">
        <f aca="false">IF(AND(Y153,NOT(E153),O153+P153&gt;0),O153/(O153+P153),1)</f>
        <v>1</v>
      </c>
      <c r="AD153" s="64" t="n">
        <f aca="false">IF(AB153,O153,IF(D153,MIN(O153,IF(E153,AC153*X153+BF152,BE153*Inputs!$G$20)),0))</f>
        <v>0</v>
      </c>
      <c r="AE153" s="64" t="n">
        <f aca="false">IF(AB153,P153,IF(D153,MAX(MIN(P153,X153-MIN(O153,AC153*X153)),0),0))</f>
        <v>0</v>
      </c>
      <c r="AF153" s="64" t="n">
        <f aca="false">IF(OR(AB153,E153),0,MAX(H153-I153-K153-L153,0))</f>
        <v>0</v>
      </c>
      <c r="AG153" s="64" t="n">
        <f aca="false">IF(E153,0,O153-AD153)</f>
        <v>0</v>
      </c>
      <c r="AH153" s="64" t="n">
        <f aca="false">IF(OR(AB153,E153),0,P153-AE153)</f>
        <v>0</v>
      </c>
      <c r="AI153" s="64" t="n">
        <f aca="false">IF(D153,R153+AD153,0)</f>
        <v>0</v>
      </c>
      <c r="AJ153" s="65" t="n">
        <f aca="false">(C153-Inputs!$G$6)/365</f>
        <v>35.6630136986301</v>
      </c>
      <c r="AK153" s="29" t="n">
        <f aca="false">AG153/Inputs!$C$10</f>
        <v>0</v>
      </c>
      <c r="AL153" s="5"/>
      <c r="AM153" s="66" t="n">
        <f aca="false">F153</f>
        <v>0.247222222222222</v>
      </c>
      <c r="AN153" s="5"/>
      <c r="AO153" s="5" t="n">
        <f aca="false">AO152+LN(1+($G153+AO$7)*$AM153)</f>
        <v>0.905420556914388</v>
      </c>
      <c r="AP153" s="5" t="n">
        <f aca="false">AP152+LN(1+($G153+AP$7)*$AM153)</f>
        <v>0.909013489130516</v>
      </c>
      <c r="AQ153" s="5" t="n">
        <f aca="false">AQ152+LN(1+($G153+AQ$7)*$AM153)</f>
        <v>1.02442292665982</v>
      </c>
      <c r="AR153" s="5" t="n">
        <f aca="false">AR152+LN(1+($G153+AR$7)*$AM153)</f>
        <v>1.0280128657075</v>
      </c>
      <c r="AS153" s="5" t="n">
        <f aca="false">AS152+LN(1+($G153+AS$7)*$AM153)</f>
        <v>1.02572787084542</v>
      </c>
      <c r="AT153" s="5" t="n">
        <f aca="false">AT152+LN(1+($G153+AT$7)*$AM153)</f>
        <v>1.02931777708478</v>
      </c>
      <c r="AU153" s="5" t="n">
        <f aca="false">AU152+LN(1+($G153+AU$7)*$AM153)</f>
        <v>1.02572759222743</v>
      </c>
      <c r="AV153" s="5" t="n">
        <f aca="false">AV152+LN(1+($G153+AV$7)*$AM153)</f>
        <v>1.02931749847379</v>
      </c>
      <c r="AW153" s="5" t="n">
        <f aca="false">AW152+LN(1+($G153+AW$7)*$AM153)</f>
        <v>1.02572759232087</v>
      </c>
      <c r="AX153" s="5" t="n">
        <f aca="false">AX152+LN(1+($G153+AX$7)*$AM153)</f>
        <v>1.02931749856723</v>
      </c>
      <c r="AY153" s="5" t="n">
        <f aca="false">AY152+LN(1+($G153+AY$7)*$AM153)</f>
        <v>1.02572759232085</v>
      </c>
      <c r="AZ153" s="5" t="n">
        <f aca="false">AZ152+LN(1+($G153+AZ$7)*$AM153)</f>
        <v>1.0293174985672</v>
      </c>
      <c r="BA153" s="5" t="n">
        <f aca="false">BA152+LN(1+($G153+BA$7)*$AM153)</f>
        <v>1.02572759232085</v>
      </c>
      <c r="BB153" s="5" t="n">
        <f aca="false">BB152+LN(1+($G153+BB$7)*$AM153)</f>
        <v>1.0293174985672</v>
      </c>
      <c r="BC153" s="5" t="n">
        <f aca="false">BC152+LN(1+($G153+BC$7)*$AM153)</f>
        <v>1.02572759232085</v>
      </c>
      <c r="BD153" s="5" t="n">
        <f aca="false">BD152+LN(1+($G153+BD$7)*$AM153)</f>
        <v>1.0293174985672</v>
      </c>
      <c r="BE153" s="5" t="n">
        <f aca="false">IF(AB153,O153,IF(D153,MIN(O153,AC153*X153+BF152),0))</f>
        <v>0</v>
      </c>
      <c r="BF153" s="5" t="n">
        <f aca="false">IF(OR(AB153,E153),0,BE153-AD153)</f>
        <v>0</v>
      </c>
      <c r="BG153" s="5" t="n">
        <f aca="false">BG152+LN(1+($G153+BG$7)*$AM153)</f>
        <v>0.989823564871567</v>
      </c>
      <c r="BH153" s="5"/>
      <c r="BI153" s="5" t="n">
        <f aca="false">BI152+LN(1+($G153+BI$7)*$AM153)</f>
        <v>1.06162259388628</v>
      </c>
      <c r="BJ153" s="5"/>
      <c r="BK153" s="62" t="n">
        <f aca="false">C153</f>
        <v>59306</v>
      </c>
      <c r="BL153" s="67" t="n">
        <f aca="false">AI153</f>
        <v>0</v>
      </c>
    </row>
    <row r="154" customFormat="false" ht="15" hidden="false" customHeight="true" outlineLevel="0" collapsed="false">
      <c r="A154" s="3" t="n">
        <v>144</v>
      </c>
      <c r="B154" s="38" t="n">
        <f aca="false">EDATE(Inputs!$C$8,3*(A154-1))</f>
        <v>59398</v>
      </c>
      <c r="C154" s="38" t="n">
        <f aca="false">WORKDAY(B154-1,1)</f>
        <v>59398</v>
      </c>
      <c r="D154" s="61" t="b">
        <f aca="false">C154&lt;=Inputs!$C$9</f>
        <v>0</v>
      </c>
      <c r="E154" s="61" t="b">
        <f aca="false">AND(D154,NOT(D155))</f>
        <v>0</v>
      </c>
      <c r="F154" s="63" t="n">
        <f aca="false">(C154-C153)/360</f>
        <v>0.255555555555556</v>
      </c>
      <c r="G154" s="57" t="n">
        <f aca="false">Curve!D147</f>
        <v>0.02252</v>
      </c>
      <c r="H154" s="64" t="n">
        <f aca="false">AF153</f>
        <v>0</v>
      </c>
      <c r="I154" s="64" t="n">
        <f aca="false">IF(D154,H154*Inputs!$G$22,0)</f>
        <v>0</v>
      </c>
      <c r="J154" s="32" t="n">
        <f aca="false">MAX(Inputs!$G$24-(A154-1),1)</f>
        <v>1</v>
      </c>
      <c r="K154" s="64" t="n">
        <f aca="false">IF(D154,MIN(H154-I154,IF(J154&gt;1,(H154-I154)*Inputs!$G$23/((1+Inputs!$G$23)^J154-1),H154-I154)),0)</f>
        <v>0</v>
      </c>
      <c r="L154" s="64" t="n">
        <f aca="false">IF(D154,(H154-I154-K154)*Inputs!$G$21,0)</f>
        <v>0</v>
      </c>
      <c r="M154" s="64" t="n">
        <f aca="false">IF(A154&gt;Inputs!$G$13,(1-Inputs!$G$12)*INDEX($I$11:$I$190,A154-Inputs!$G$13),0)</f>
        <v>0</v>
      </c>
      <c r="N154" s="64" t="n">
        <f aca="false">IF(D154,(H154-I154)*Inputs!$G$23,0)</f>
        <v>0</v>
      </c>
      <c r="O154" s="64" t="n">
        <f aca="false">AG153</f>
        <v>0</v>
      </c>
      <c r="P154" s="64" t="n">
        <f aca="false">AH153</f>
        <v>0</v>
      </c>
      <c r="Q154" s="64" t="n">
        <f aca="false">IF(AND(D154,O154+P154&gt;0),Inputs!$C$25+Inputs!$C$26*H154/4,0)</f>
        <v>0</v>
      </c>
      <c r="R154" s="64" t="n">
        <f aca="false">O154*IF(Inputs!$G$19="",G154+Inputs!$C$13,MAX(Inputs!$G$19,G154+Inputs!$C$13))*F154</f>
        <v>0</v>
      </c>
      <c r="S154" s="64" t="n">
        <f aca="false">P154*(G154+Inputs!$C$14)*F154</f>
        <v>0</v>
      </c>
      <c r="T154" s="64" t="n">
        <f aca="false">N154+M154-Q154-R154-S154</f>
        <v>0</v>
      </c>
      <c r="U154" s="64" t="n">
        <f aca="false">W153</f>
        <v>260422.420657149</v>
      </c>
      <c r="V154" s="64" t="n">
        <f aca="false">MIN(U154+I154,MAX(T154,0))</f>
        <v>0</v>
      </c>
      <c r="W154" s="64" t="n">
        <f aca="false">U154+I154-V154</f>
        <v>260422.420657149</v>
      </c>
      <c r="X154" s="64" t="n">
        <f aca="false">K154+L154+V154+IF(E154,H154-I154-K154-L154,0)</f>
        <v>0</v>
      </c>
      <c r="Y154" s="61" t="b">
        <f aca="false">AND(Inputs!$C$21=1,O154/Inputs!$C$10&lt;=Inputs!$C$22,Inputs!$G$14&lt;Inputs!$C$23,W154&lt;1)</f>
        <v>0</v>
      </c>
      <c r="Z154" s="61" t="b">
        <f aca="false">OR(AND(Inputs!$G$15=1,H154/Inputs!$C$17&lt;=Inputs!$C$24),AND(Inputs!$G$15=2,C154&gt;=Inputs!$G$16))</f>
        <v>0</v>
      </c>
      <c r="AA154" s="61" t="b">
        <f aca="false">OR(AA153,Z154)</f>
        <v>0</v>
      </c>
      <c r="AB154" s="61" t="b">
        <f aca="false">AND(Z154,NOT(AA153),D154,O154&gt;0)</f>
        <v>0</v>
      </c>
      <c r="AC154" s="63" t="n">
        <f aca="false">IF(AND(Y154,NOT(E154),O154+P154&gt;0),O154/(O154+P154),1)</f>
        <v>1</v>
      </c>
      <c r="AD154" s="64" t="n">
        <f aca="false">IF(AB154,O154,IF(D154,MIN(O154,IF(E154,AC154*X154+BF153,BE154*Inputs!$G$20)),0))</f>
        <v>0</v>
      </c>
      <c r="AE154" s="64" t="n">
        <f aca="false">IF(AB154,P154,IF(D154,MAX(MIN(P154,X154-MIN(O154,AC154*X154)),0),0))</f>
        <v>0</v>
      </c>
      <c r="AF154" s="64" t="n">
        <f aca="false">IF(OR(AB154,E154),0,MAX(H154-I154-K154-L154,0))</f>
        <v>0</v>
      </c>
      <c r="AG154" s="64" t="n">
        <f aca="false">IF(E154,0,O154-AD154)</f>
        <v>0</v>
      </c>
      <c r="AH154" s="64" t="n">
        <f aca="false">IF(OR(AB154,E154),0,P154-AE154)</f>
        <v>0</v>
      </c>
      <c r="AI154" s="64" t="n">
        <f aca="false">IF(D154,R154+AD154,0)</f>
        <v>0</v>
      </c>
      <c r="AJ154" s="65" t="n">
        <f aca="false">(C154-Inputs!$G$6)/365</f>
        <v>35.9150684931507</v>
      </c>
      <c r="AK154" s="29" t="n">
        <f aca="false">AG154/Inputs!$C$10</f>
        <v>0</v>
      </c>
      <c r="AL154" s="5"/>
      <c r="AM154" s="66" t="n">
        <f aca="false">F154</f>
        <v>0.255555555555556</v>
      </c>
      <c r="AN154" s="5"/>
      <c r="AO154" s="5" t="n">
        <f aca="false">AO153+LN(1+($G154+AO$7)*$AM154)</f>
        <v>0.911819594885546</v>
      </c>
      <c r="AP154" s="5" t="n">
        <f aca="false">AP153+LN(1+($G154+AP$7)*$AM154)</f>
        <v>0.91543791932598</v>
      </c>
      <c r="AQ154" s="5" t="n">
        <f aca="false">AQ153+LN(1+($G154+AQ$7)*$AM154)</f>
        <v>1.0316629834873</v>
      </c>
      <c r="AR154" s="5" t="n">
        <f aca="false">AR153+LN(1+($G154+AR$7)*$AM154)</f>
        <v>1.0352782934132</v>
      </c>
      <c r="AS154" s="5" t="n">
        <f aca="false">AS153+LN(1+($G154+AS$7)*$AM154)</f>
        <v>1.03297714999729</v>
      </c>
      <c r="AT154" s="5" t="n">
        <f aca="false">AT153+LN(1+($G154+AT$7)*$AM154)</f>
        <v>1.03659242688088</v>
      </c>
      <c r="AU154" s="5" t="n">
        <f aca="false">AU153+LN(1+($G154+AU$7)*$AM154)</f>
        <v>1.03297686941024</v>
      </c>
      <c r="AV154" s="5" t="n">
        <f aca="false">AV153+LN(1+($G154+AV$7)*$AM154)</f>
        <v>1.03659214630089</v>
      </c>
      <c r="AW154" s="5" t="n">
        <f aca="false">AW153+LN(1+($G154+AW$7)*$AM154)</f>
        <v>1.03297686950434</v>
      </c>
      <c r="AX154" s="5" t="n">
        <f aca="false">AX153+LN(1+($G154+AX$7)*$AM154)</f>
        <v>1.03659214639499</v>
      </c>
      <c r="AY154" s="5" t="n">
        <f aca="false">AY153+LN(1+($G154+AY$7)*$AM154)</f>
        <v>1.03297686950432</v>
      </c>
      <c r="AZ154" s="5" t="n">
        <f aca="false">AZ153+LN(1+($G154+AZ$7)*$AM154)</f>
        <v>1.03659214639496</v>
      </c>
      <c r="BA154" s="5" t="n">
        <f aca="false">BA153+LN(1+($G154+BA$7)*$AM154)</f>
        <v>1.03297686950432</v>
      </c>
      <c r="BB154" s="5" t="n">
        <f aca="false">BB153+LN(1+($G154+BB$7)*$AM154)</f>
        <v>1.03659214639496</v>
      </c>
      <c r="BC154" s="5" t="n">
        <f aca="false">BC153+LN(1+($G154+BC$7)*$AM154)</f>
        <v>1.03297686950432</v>
      </c>
      <c r="BD154" s="5" t="n">
        <f aca="false">BD153+LN(1+($G154+BD$7)*$AM154)</f>
        <v>1.03659214639496</v>
      </c>
      <c r="BE154" s="5" t="n">
        <f aca="false">IF(AB154,O154,IF(D154,MIN(O154,AC154*X154+BF153),0))</f>
        <v>0</v>
      </c>
      <c r="BF154" s="5" t="n">
        <f aca="false">IF(OR(AB154,E154),0,BE154-AD154)</f>
        <v>0</v>
      </c>
      <c r="BG154" s="5" t="n">
        <f aca="false">BG153+LN(1+($G154+BG$7)*$AM154)</f>
        <v>0.996819100204018</v>
      </c>
      <c r="BH154" s="5"/>
      <c r="BI154" s="5" t="n">
        <f aca="false">BI153+LN(1+($G154+BI$7)*$AM154)</f>
        <v>1.06912554855218</v>
      </c>
      <c r="BJ154" s="5"/>
      <c r="BK154" s="62" t="n">
        <f aca="false">C154</f>
        <v>59398</v>
      </c>
      <c r="BL154" s="67" t="n">
        <f aca="false">AI154</f>
        <v>0</v>
      </c>
    </row>
    <row r="155" customFormat="false" ht="15" hidden="false" customHeight="true" outlineLevel="0" collapsed="false">
      <c r="A155" s="3" t="n">
        <v>145</v>
      </c>
      <c r="B155" s="38" t="n">
        <f aca="false">EDATE(Inputs!$C$8,3*(A155-1))</f>
        <v>59490</v>
      </c>
      <c r="C155" s="38" t="n">
        <f aca="false">WORKDAY(B155-1,1)</f>
        <v>59490</v>
      </c>
      <c r="D155" s="61" t="b">
        <f aca="false">C155&lt;=Inputs!$C$9</f>
        <v>0</v>
      </c>
      <c r="E155" s="61" t="b">
        <f aca="false">AND(D155,NOT(D156))</f>
        <v>0</v>
      </c>
      <c r="F155" s="63" t="n">
        <f aca="false">(C155-C154)/360</f>
        <v>0.255555555555556</v>
      </c>
      <c r="G155" s="57" t="n">
        <f aca="false">Curve!D148</f>
        <v>0.02252</v>
      </c>
      <c r="H155" s="64" t="n">
        <f aca="false">AF154</f>
        <v>0</v>
      </c>
      <c r="I155" s="64" t="n">
        <f aca="false">IF(D155,H155*Inputs!$G$22,0)</f>
        <v>0</v>
      </c>
      <c r="J155" s="32" t="n">
        <f aca="false">MAX(Inputs!$G$24-(A155-1),1)</f>
        <v>1</v>
      </c>
      <c r="K155" s="64" t="n">
        <f aca="false">IF(D155,MIN(H155-I155,IF(J155&gt;1,(H155-I155)*Inputs!$G$23/((1+Inputs!$G$23)^J155-1),H155-I155)),0)</f>
        <v>0</v>
      </c>
      <c r="L155" s="64" t="n">
        <f aca="false">IF(D155,(H155-I155-K155)*Inputs!$G$21,0)</f>
        <v>0</v>
      </c>
      <c r="M155" s="64" t="n">
        <f aca="false">IF(A155&gt;Inputs!$G$13,(1-Inputs!$G$12)*INDEX($I$11:$I$190,A155-Inputs!$G$13),0)</f>
        <v>0</v>
      </c>
      <c r="N155" s="64" t="n">
        <f aca="false">IF(D155,(H155-I155)*Inputs!$G$23,0)</f>
        <v>0</v>
      </c>
      <c r="O155" s="64" t="n">
        <f aca="false">AG154</f>
        <v>0</v>
      </c>
      <c r="P155" s="64" t="n">
        <f aca="false">AH154</f>
        <v>0</v>
      </c>
      <c r="Q155" s="64" t="n">
        <f aca="false">IF(AND(D155,O155+P155&gt;0),Inputs!$C$25+Inputs!$C$26*H155/4,0)</f>
        <v>0</v>
      </c>
      <c r="R155" s="64" t="n">
        <f aca="false">O155*IF(Inputs!$G$19="",G155+Inputs!$C$13,MAX(Inputs!$G$19,G155+Inputs!$C$13))*F155</f>
        <v>0</v>
      </c>
      <c r="S155" s="64" t="n">
        <f aca="false">P155*(G155+Inputs!$C$14)*F155</f>
        <v>0</v>
      </c>
      <c r="T155" s="64" t="n">
        <f aca="false">N155+M155-Q155-R155-S155</f>
        <v>0</v>
      </c>
      <c r="U155" s="64" t="n">
        <f aca="false">W154</f>
        <v>260422.420657149</v>
      </c>
      <c r="V155" s="64" t="n">
        <f aca="false">MIN(U155+I155,MAX(T155,0))</f>
        <v>0</v>
      </c>
      <c r="W155" s="64" t="n">
        <f aca="false">U155+I155-V155</f>
        <v>260422.420657149</v>
      </c>
      <c r="X155" s="64" t="n">
        <f aca="false">K155+L155+V155+IF(E155,H155-I155-K155-L155,0)</f>
        <v>0</v>
      </c>
      <c r="Y155" s="61" t="b">
        <f aca="false">AND(Inputs!$C$21=1,O155/Inputs!$C$10&lt;=Inputs!$C$22,Inputs!$G$14&lt;Inputs!$C$23,W155&lt;1)</f>
        <v>0</v>
      </c>
      <c r="Z155" s="61" t="b">
        <f aca="false">OR(AND(Inputs!$G$15=1,H155/Inputs!$C$17&lt;=Inputs!$C$24),AND(Inputs!$G$15=2,C155&gt;=Inputs!$G$16))</f>
        <v>0</v>
      </c>
      <c r="AA155" s="61" t="b">
        <f aca="false">OR(AA154,Z155)</f>
        <v>0</v>
      </c>
      <c r="AB155" s="61" t="b">
        <f aca="false">AND(Z155,NOT(AA154),D155,O155&gt;0)</f>
        <v>0</v>
      </c>
      <c r="AC155" s="63" t="n">
        <f aca="false">IF(AND(Y155,NOT(E155),O155+P155&gt;0),O155/(O155+P155),1)</f>
        <v>1</v>
      </c>
      <c r="AD155" s="64" t="n">
        <f aca="false">IF(AB155,O155,IF(D155,MIN(O155,IF(E155,AC155*X155+BF154,BE155*Inputs!$G$20)),0))</f>
        <v>0</v>
      </c>
      <c r="AE155" s="64" t="n">
        <f aca="false">IF(AB155,P155,IF(D155,MAX(MIN(P155,X155-MIN(O155,AC155*X155)),0),0))</f>
        <v>0</v>
      </c>
      <c r="AF155" s="64" t="n">
        <f aca="false">IF(OR(AB155,E155),0,MAX(H155-I155-K155-L155,0))</f>
        <v>0</v>
      </c>
      <c r="AG155" s="64" t="n">
        <f aca="false">IF(E155,0,O155-AD155)</f>
        <v>0</v>
      </c>
      <c r="AH155" s="64" t="n">
        <f aca="false">IF(OR(AB155,E155),0,P155-AE155)</f>
        <v>0</v>
      </c>
      <c r="AI155" s="64" t="n">
        <f aca="false">IF(D155,R155+AD155,0)</f>
        <v>0</v>
      </c>
      <c r="AJ155" s="65" t="n">
        <f aca="false">(C155-Inputs!$G$6)/365</f>
        <v>36.1671232876712</v>
      </c>
      <c r="AK155" s="29" t="n">
        <f aca="false">AG155/Inputs!$C$10</f>
        <v>0</v>
      </c>
      <c r="AL155" s="5"/>
      <c r="AM155" s="66" t="n">
        <f aca="false">F155</f>
        <v>0.255555555555556</v>
      </c>
      <c r="AN155" s="5"/>
      <c r="AO155" s="5" t="n">
        <f aca="false">AO154+LN(1+($G155+AO$7)*$AM155)</f>
        <v>0.918218632856703</v>
      </c>
      <c r="AP155" s="5" t="n">
        <f aca="false">AP154+LN(1+($G155+AP$7)*$AM155)</f>
        <v>0.921862349521443</v>
      </c>
      <c r="AQ155" s="5" t="n">
        <f aca="false">AQ154+LN(1+($G155+AQ$7)*$AM155)</f>
        <v>1.03890304031478</v>
      </c>
      <c r="AR155" s="5" t="n">
        <f aca="false">AR154+LN(1+($G155+AR$7)*$AM155)</f>
        <v>1.0425437211189</v>
      </c>
      <c r="AS155" s="5" t="n">
        <f aca="false">AS154+LN(1+($G155+AS$7)*$AM155)</f>
        <v>1.04022642914916</v>
      </c>
      <c r="AT155" s="5" t="n">
        <f aca="false">AT154+LN(1+($G155+AT$7)*$AM155)</f>
        <v>1.04386707667699</v>
      </c>
      <c r="AU155" s="5" t="n">
        <f aca="false">AU154+LN(1+($G155+AU$7)*$AM155)</f>
        <v>1.04022614659305</v>
      </c>
      <c r="AV155" s="5" t="n">
        <f aca="false">AV154+LN(1+($G155+AV$7)*$AM155)</f>
        <v>1.04386679412799</v>
      </c>
      <c r="AW155" s="5" t="n">
        <f aca="false">AW154+LN(1+($G155+AW$7)*$AM155)</f>
        <v>1.04022614668781</v>
      </c>
      <c r="AX155" s="5" t="n">
        <f aca="false">AX154+LN(1+($G155+AX$7)*$AM155)</f>
        <v>1.04386679422276</v>
      </c>
      <c r="AY155" s="5" t="n">
        <f aca="false">AY154+LN(1+($G155+AY$7)*$AM155)</f>
        <v>1.04022614668779</v>
      </c>
      <c r="AZ155" s="5" t="n">
        <f aca="false">AZ154+LN(1+($G155+AZ$7)*$AM155)</f>
        <v>1.04386679422273</v>
      </c>
      <c r="BA155" s="5" t="n">
        <f aca="false">BA154+LN(1+($G155+BA$7)*$AM155)</f>
        <v>1.04022614668779</v>
      </c>
      <c r="BB155" s="5" t="n">
        <f aca="false">BB154+LN(1+($G155+BB$7)*$AM155)</f>
        <v>1.04386679422273</v>
      </c>
      <c r="BC155" s="5" t="n">
        <f aca="false">BC154+LN(1+($G155+BC$7)*$AM155)</f>
        <v>1.04022614668779</v>
      </c>
      <c r="BD155" s="5" t="n">
        <f aca="false">BD154+LN(1+($G155+BD$7)*$AM155)</f>
        <v>1.04386679422273</v>
      </c>
      <c r="BE155" s="5" t="n">
        <f aca="false">IF(AB155,O155,IF(D155,MIN(O155,AC155*X155+BF154),0))</f>
        <v>0</v>
      </c>
      <c r="BF155" s="5" t="n">
        <f aca="false">IF(OR(AB155,E155),0,BE155-AD155)</f>
        <v>0</v>
      </c>
      <c r="BG155" s="5" t="n">
        <f aca="false">BG154+LN(1+($G155+BG$7)*$AM155)</f>
        <v>1.00381463553647</v>
      </c>
      <c r="BH155" s="5"/>
      <c r="BI155" s="5" t="n">
        <f aca="false">BI154+LN(1+($G155+BI$7)*$AM155)</f>
        <v>1.07662850321808</v>
      </c>
      <c r="BJ155" s="5"/>
      <c r="BK155" s="62" t="n">
        <f aca="false">C155</f>
        <v>59490</v>
      </c>
      <c r="BL155" s="67" t="n">
        <f aca="false">AI155</f>
        <v>0</v>
      </c>
    </row>
    <row r="156" customFormat="false" ht="15" hidden="false" customHeight="true" outlineLevel="0" collapsed="false">
      <c r="A156" s="3" t="n">
        <v>146</v>
      </c>
      <c r="B156" s="38" t="n">
        <f aca="false">EDATE(Inputs!$C$8,3*(A156-1))</f>
        <v>59582</v>
      </c>
      <c r="C156" s="38" t="n">
        <f aca="false">WORKDAY(B156-1,1)</f>
        <v>59582</v>
      </c>
      <c r="D156" s="61" t="b">
        <f aca="false">C156&lt;=Inputs!$C$9</f>
        <v>0</v>
      </c>
      <c r="E156" s="61" t="b">
        <f aca="false">AND(D156,NOT(D157))</f>
        <v>0</v>
      </c>
      <c r="F156" s="63" t="n">
        <f aca="false">(C156-C155)/360</f>
        <v>0.255555555555556</v>
      </c>
      <c r="G156" s="57" t="n">
        <f aca="false">Curve!D149</f>
        <v>0.02252</v>
      </c>
      <c r="H156" s="64" t="n">
        <f aca="false">AF155</f>
        <v>0</v>
      </c>
      <c r="I156" s="64" t="n">
        <f aca="false">IF(D156,H156*Inputs!$G$22,0)</f>
        <v>0</v>
      </c>
      <c r="J156" s="32" t="n">
        <f aca="false">MAX(Inputs!$G$24-(A156-1),1)</f>
        <v>1</v>
      </c>
      <c r="K156" s="64" t="n">
        <f aca="false">IF(D156,MIN(H156-I156,IF(J156&gt;1,(H156-I156)*Inputs!$G$23/((1+Inputs!$G$23)^J156-1),H156-I156)),0)</f>
        <v>0</v>
      </c>
      <c r="L156" s="64" t="n">
        <f aca="false">IF(D156,(H156-I156-K156)*Inputs!$G$21,0)</f>
        <v>0</v>
      </c>
      <c r="M156" s="64" t="n">
        <f aca="false">IF(A156&gt;Inputs!$G$13,(1-Inputs!$G$12)*INDEX($I$11:$I$190,A156-Inputs!$G$13),0)</f>
        <v>0</v>
      </c>
      <c r="N156" s="64" t="n">
        <f aca="false">IF(D156,(H156-I156)*Inputs!$G$23,0)</f>
        <v>0</v>
      </c>
      <c r="O156" s="64" t="n">
        <f aca="false">AG155</f>
        <v>0</v>
      </c>
      <c r="P156" s="64" t="n">
        <f aca="false">AH155</f>
        <v>0</v>
      </c>
      <c r="Q156" s="64" t="n">
        <f aca="false">IF(AND(D156,O156+P156&gt;0),Inputs!$C$25+Inputs!$C$26*H156/4,0)</f>
        <v>0</v>
      </c>
      <c r="R156" s="64" t="n">
        <f aca="false">O156*IF(Inputs!$G$19="",G156+Inputs!$C$13,MAX(Inputs!$G$19,G156+Inputs!$C$13))*F156</f>
        <v>0</v>
      </c>
      <c r="S156" s="64" t="n">
        <f aca="false">P156*(G156+Inputs!$C$14)*F156</f>
        <v>0</v>
      </c>
      <c r="T156" s="64" t="n">
        <f aca="false">N156+M156-Q156-R156-S156</f>
        <v>0</v>
      </c>
      <c r="U156" s="64" t="n">
        <f aca="false">W155</f>
        <v>260422.420657149</v>
      </c>
      <c r="V156" s="64" t="n">
        <f aca="false">MIN(U156+I156,MAX(T156,0))</f>
        <v>0</v>
      </c>
      <c r="W156" s="64" t="n">
        <f aca="false">U156+I156-V156</f>
        <v>260422.420657149</v>
      </c>
      <c r="X156" s="64" t="n">
        <f aca="false">K156+L156+V156+IF(E156,H156-I156-K156-L156,0)</f>
        <v>0</v>
      </c>
      <c r="Y156" s="61" t="b">
        <f aca="false">AND(Inputs!$C$21=1,O156/Inputs!$C$10&lt;=Inputs!$C$22,Inputs!$G$14&lt;Inputs!$C$23,W156&lt;1)</f>
        <v>0</v>
      </c>
      <c r="Z156" s="61" t="b">
        <f aca="false">OR(AND(Inputs!$G$15=1,H156/Inputs!$C$17&lt;=Inputs!$C$24),AND(Inputs!$G$15=2,C156&gt;=Inputs!$G$16))</f>
        <v>0</v>
      </c>
      <c r="AA156" s="61" t="b">
        <f aca="false">OR(AA155,Z156)</f>
        <v>0</v>
      </c>
      <c r="AB156" s="61" t="b">
        <f aca="false">AND(Z156,NOT(AA155),D156,O156&gt;0)</f>
        <v>0</v>
      </c>
      <c r="AC156" s="63" t="n">
        <f aca="false">IF(AND(Y156,NOT(E156),O156+P156&gt;0),O156/(O156+P156),1)</f>
        <v>1</v>
      </c>
      <c r="AD156" s="64" t="n">
        <f aca="false">IF(AB156,O156,IF(D156,MIN(O156,IF(E156,AC156*X156+BF155,BE156*Inputs!$G$20)),0))</f>
        <v>0</v>
      </c>
      <c r="AE156" s="64" t="n">
        <f aca="false">IF(AB156,P156,IF(D156,MAX(MIN(P156,X156-MIN(O156,AC156*X156)),0),0))</f>
        <v>0</v>
      </c>
      <c r="AF156" s="64" t="n">
        <f aca="false">IF(OR(AB156,E156),0,MAX(H156-I156-K156-L156,0))</f>
        <v>0</v>
      </c>
      <c r="AG156" s="64" t="n">
        <f aca="false">IF(E156,0,O156-AD156)</f>
        <v>0</v>
      </c>
      <c r="AH156" s="64" t="n">
        <f aca="false">IF(OR(AB156,E156),0,P156-AE156)</f>
        <v>0</v>
      </c>
      <c r="AI156" s="64" t="n">
        <f aca="false">IF(D156,R156+AD156,0)</f>
        <v>0</v>
      </c>
      <c r="AJ156" s="65" t="n">
        <f aca="false">(C156-Inputs!$G$6)/365</f>
        <v>36.4191780821918</v>
      </c>
      <c r="AK156" s="29" t="n">
        <f aca="false">AG156/Inputs!$C$10</f>
        <v>0</v>
      </c>
      <c r="AL156" s="5"/>
      <c r="AM156" s="66" t="n">
        <f aca="false">F156</f>
        <v>0.255555555555556</v>
      </c>
      <c r="AN156" s="5"/>
      <c r="AO156" s="5" t="n">
        <f aca="false">AO155+LN(1+($G156+AO$7)*$AM156)</f>
        <v>0.924617670827861</v>
      </c>
      <c r="AP156" s="5" t="n">
        <f aca="false">AP155+LN(1+($G156+AP$7)*$AM156)</f>
        <v>0.928286779716907</v>
      </c>
      <c r="AQ156" s="5" t="n">
        <f aca="false">AQ155+LN(1+($G156+AQ$7)*$AM156)</f>
        <v>1.04614309714226</v>
      </c>
      <c r="AR156" s="5" t="n">
        <f aca="false">AR155+LN(1+($G156+AR$7)*$AM156)</f>
        <v>1.04980914882459</v>
      </c>
      <c r="AS156" s="5" t="n">
        <f aca="false">AS155+LN(1+($G156+AS$7)*$AM156)</f>
        <v>1.04747570830102</v>
      </c>
      <c r="AT156" s="5" t="n">
        <f aca="false">AT155+LN(1+($G156+AT$7)*$AM156)</f>
        <v>1.0511417264731</v>
      </c>
      <c r="AU156" s="5" t="n">
        <f aca="false">AU155+LN(1+($G156+AU$7)*$AM156)</f>
        <v>1.04747542377586</v>
      </c>
      <c r="AV156" s="5" t="n">
        <f aca="false">AV155+LN(1+($G156+AV$7)*$AM156)</f>
        <v>1.05114144195509</v>
      </c>
      <c r="AW156" s="5" t="n">
        <f aca="false">AW155+LN(1+($G156+AW$7)*$AM156)</f>
        <v>1.04747542387129</v>
      </c>
      <c r="AX156" s="5" t="n">
        <f aca="false">AX155+LN(1+($G156+AX$7)*$AM156)</f>
        <v>1.05114144205052</v>
      </c>
      <c r="AY156" s="5" t="n">
        <f aca="false">AY155+LN(1+($G156+AY$7)*$AM156)</f>
        <v>1.04747542387127</v>
      </c>
      <c r="AZ156" s="5" t="n">
        <f aca="false">AZ155+LN(1+($G156+AZ$7)*$AM156)</f>
        <v>1.05114144205049</v>
      </c>
      <c r="BA156" s="5" t="n">
        <f aca="false">BA155+LN(1+($G156+BA$7)*$AM156)</f>
        <v>1.04747542387127</v>
      </c>
      <c r="BB156" s="5" t="n">
        <f aca="false">BB155+LN(1+($G156+BB$7)*$AM156)</f>
        <v>1.05114144205049</v>
      </c>
      <c r="BC156" s="5" t="n">
        <f aca="false">BC155+LN(1+($G156+BC$7)*$AM156)</f>
        <v>1.04747542387127</v>
      </c>
      <c r="BD156" s="5" t="n">
        <f aca="false">BD155+LN(1+($G156+BD$7)*$AM156)</f>
        <v>1.05114144205049</v>
      </c>
      <c r="BE156" s="5" t="n">
        <f aca="false">IF(AB156,O156,IF(D156,MIN(O156,AC156*X156+BF155),0))</f>
        <v>0</v>
      </c>
      <c r="BF156" s="5" t="n">
        <f aca="false">IF(OR(AB156,E156),0,BE156-AD156)</f>
        <v>0</v>
      </c>
      <c r="BG156" s="5" t="n">
        <f aca="false">BG155+LN(1+($G156+BG$7)*$AM156)</f>
        <v>1.01081017086892</v>
      </c>
      <c r="BH156" s="5"/>
      <c r="BI156" s="5" t="n">
        <f aca="false">BI155+LN(1+($G156+BI$7)*$AM156)</f>
        <v>1.08413145788398</v>
      </c>
      <c r="BJ156" s="5"/>
      <c r="BK156" s="62" t="n">
        <f aca="false">C156</f>
        <v>59582</v>
      </c>
      <c r="BL156" s="67" t="n">
        <f aca="false">AI156</f>
        <v>0</v>
      </c>
    </row>
    <row r="157" customFormat="false" ht="15" hidden="false" customHeight="true" outlineLevel="0" collapsed="false">
      <c r="A157" s="3" t="n">
        <v>147</v>
      </c>
      <c r="B157" s="38" t="n">
        <f aca="false">EDATE(Inputs!$C$8,3*(A157-1))</f>
        <v>59671</v>
      </c>
      <c r="C157" s="38" t="n">
        <f aca="false">WORKDAY(B157-1,1)</f>
        <v>59671</v>
      </c>
      <c r="D157" s="61" t="b">
        <f aca="false">C157&lt;=Inputs!$C$9</f>
        <v>0</v>
      </c>
      <c r="E157" s="61" t="b">
        <f aca="false">AND(D157,NOT(D158))</f>
        <v>0</v>
      </c>
      <c r="F157" s="63" t="n">
        <f aca="false">(C157-C156)/360</f>
        <v>0.247222222222222</v>
      </c>
      <c r="G157" s="57" t="n">
        <f aca="false">Curve!D150</f>
        <v>0.02252</v>
      </c>
      <c r="H157" s="64" t="n">
        <f aca="false">AF156</f>
        <v>0</v>
      </c>
      <c r="I157" s="64" t="n">
        <f aca="false">IF(D157,H157*Inputs!$G$22,0)</f>
        <v>0</v>
      </c>
      <c r="J157" s="32" t="n">
        <f aca="false">MAX(Inputs!$G$24-(A157-1),1)</f>
        <v>1</v>
      </c>
      <c r="K157" s="64" t="n">
        <f aca="false">IF(D157,MIN(H157-I157,IF(J157&gt;1,(H157-I157)*Inputs!$G$23/((1+Inputs!$G$23)^J157-1),H157-I157)),0)</f>
        <v>0</v>
      </c>
      <c r="L157" s="64" t="n">
        <f aca="false">IF(D157,(H157-I157-K157)*Inputs!$G$21,0)</f>
        <v>0</v>
      </c>
      <c r="M157" s="64" t="n">
        <f aca="false">IF(A157&gt;Inputs!$G$13,(1-Inputs!$G$12)*INDEX($I$11:$I$190,A157-Inputs!$G$13),0)</f>
        <v>0</v>
      </c>
      <c r="N157" s="64" t="n">
        <f aca="false">IF(D157,(H157-I157)*Inputs!$G$23,0)</f>
        <v>0</v>
      </c>
      <c r="O157" s="64" t="n">
        <f aca="false">AG156</f>
        <v>0</v>
      </c>
      <c r="P157" s="64" t="n">
        <f aca="false">AH156</f>
        <v>0</v>
      </c>
      <c r="Q157" s="64" t="n">
        <f aca="false">IF(AND(D157,O157+P157&gt;0),Inputs!$C$25+Inputs!$C$26*H157/4,0)</f>
        <v>0</v>
      </c>
      <c r="R157" s="64" t="n">
        <f aca="false">O157*IF(Inputs!$G$19="",G157+Inputs!$C$13,MAX(Inputs!$G$19,G157+Inputs!$C$13))*F157</f>
        <v>0</v>
      </c>
      <c r="S157" s="64" t="n">
        <f aca="false">P157*(G157+Inputs!$C$14)*F157</f>
        <v>0</v>
      </c>
      <c r="T157" s="64" t="n">
        <f aca="false">N157+M157-Q157-R157-S157</f>
        <v>0</v>
      </c>
      <c r="U157" s="64" t="n">
        <f aca="false">W156</f>
        <v>260422.420657149</v>
      </c>
      <c r="V157" s="64" t="n">
        <f aca="false">MIN(U157+I157,MAX(T157,0))</f>
        <v>0</v>
      </c>
      <c r="W157" s="64" t="n">
        <f aca="false">U157+I157-V157</f>
        <v>260422.420657149</v>
      </c>
      <c r="X157" s="64" t="n">
        <f aca="false">K157+L157+V157+IF(E157,H157-I157-K157-L157,0)</f>
        <v>0</v>
      </c>
      <c r="Y157" s="61" t="b">
        <f aca="false">AND(Inputs!$C$21=1,O157/Inputs!$C$10&lt;=Inputs!$C$22,Inputs!$G$14&lt;Inputs!$C$23,W157&lt;1)</f>
        <v>0</v>
      </c>
      <c r="Z157" s="61" t="b">
        <f aca="false">OR(AND(Inputs!$G$15=1,H157/Inputs!$C$17&lt;=Inputs!$C$24),AND(Inputs!$G$15=2,C157&gt;=Inputs!$G$16))</f>
        <v>0</v>
      </c>
      <c r="AA157" s="61" t="b">
        <f aca="false">OR(AA156,Z157)</f>
        <v>0</v>
      </c>
      <c r="AB157" s="61" t="b">
        <f aca="false">AND(Z157,NOT(AA156),D157,O157&gt;0)</f>
        <v>0</v>
      </c>
      <c r="AC157" s="63" t="n">
        <f aca="false">IF(AND(Y157,NOT(E157),O157+P157&gt;0),O157/(O157+P157),1)</f>
        <v>1</v>
      </c>
      <c r="AD157" s="64" t="n">
        <f aca="false">IF(AB157,O157,IF(D157,MIN(O157,IF(E157,AC157*X157+BF156,BE157*Inputs!$G$20)),0))</f>
        <v>0</v>
      </c>
      <c r="AE157" s="64" t="n">
        <f aca="false">IF(AB157,P157,IF(D157,MAX(MIN(P157,X157-MIN(O157,AC157*X157)),0),0))</f>
        <v>0</v>
      </c>
      <c r="AF157" s="64" t="n">
        <f aca="false">IF(OR(AB157,E157),0,MAX(H157-I157-K157-L157,0))</f>
        <v>0</v>
      </c>
      <c r="AG157" s="64" t="n">
        <f aca="false">IF(E157,0,O157-AD157)</f>
        <v>0</v>
      </c>
      <c r="AH157" s="64" t="n">
        <f aca="false">IF(OR(AB157,E157),0,P157-AE157)</f>
        <v>0</v>
      </c>
      <c r="AI157" s="64" t="n">
        <f aca="false">IF(D157,R157+AD157,0)</f>
        <v>0</v>
      </c>
      <c r="AJ157" s="65" t="n">
        <f aca="false">(C157-Inputs!$G$6)/365</f>
        <v>36.6630136986301</v>
      </c>
      <c r="AK157" s="29" t="n">
        <f aca="false">AG157/Inputs!$C$10</f>
        <v>0</v>
      </c>
      <c r="AL157" s="5"/>
      <c r="AM157" s="66" t="n">
        <f aca="false">F157</f>
        <v>0.247222222222222</v>
      </c>
      <c r="AN157" s="5"/>
      <c r="AO157" s="5" t="n">
        <f aca="false">AO156+LN(1+($G157+AO$7)*$AM157)</f>
        <v>0.930808689086303</v>
      </c>
      <c r="AP157" s="5" t="n">
        <f aca="false">AP156+LN(1+($G157+AP$7)*$AM157)</f>
        <v>0.934502367312822</v>
      </c>
      <c r="AQ157" s="5" t="n">
        <f aca="false">AQ156+LN(1+($G157+AQ$7)*$AM157)</f>
        <v>1.05314789007713</v>
      </c>
      <c r="AR157" s="5" t="n">
        <f aca="false">AR156+LN(1+($G157+AR$7)*$AM157)</f>
        <v>1.05683849111141</v>
      </c>
      <c r="AS157" s="5" t="n">
        <f aca="false">AS156+LN(1+($G157+AS$7)*$AM157)</f>
        <v>1.05448942493282</v>
      </c>
      <c r="AT157" s="5" t="n">
        <f aca="false">AT156+LN(1+($G157+AT$7)*$AM157)</f>
        <v>1.05817999223777</v>
      </c>
      <c r="AU157" s="5" t="n">
        <f aca="false">AU156+LN(1+($G157+AU$7)*$AM157)</f>
        <v>1.05448913850236</v>
      </c>
      <c r="AV157" s="5" t="n">
        <f aca="false">AV156+LN(1+($G157+AV$7)*$AM157)</f>
        <v>1.05817970581452</v>
      </c>
      <c r="AW157" s="5" t="n">
        <f aca="false">AW156+LN(1+($G157+AW$7)*$AM157)</f>
        <v>1.05448913859842</v>
      </c>
      <c r="AX157" s="5" t="n">
        <f aca="false">AX156+LN(1+($G157+AX$7)*$AM157)</f>
        <v>1.05817970591059</v>
      </c>
      <c r="AY157" s="5" t="n">
        <f aca="false">AY156+LN(1+($G157+AY$7)*$AM157)</f>
        <v>1.05448913859841</v>
      </c>
      <c r="AZ157" s="5" t="n">
        <f aca="false">AZ156+LN(1+($G157+AZ$7)*$AM157)</f>
        <v>1.05817970591055</v>
      </c>
      <c r="BA157" s="5" t="n">
        <f aca="false">BA156+LN(1+($G157+BA$7)*$AM157)</f>
        <v>1.05448913859841</v>
      </c>
      <c r="BB157" s="5" t="n">
        <f aca="false">BB156+LN(1+($G157+BB$7)*$AM157)</f>
        <v>1.05817970591055</v>
      </c>
      <c r="BC157" s="5" t="n">
        <f aca="false">BC156+LN(1+($G157+BC$7)*$AM157)</f>
        <v>1.05448913859841</v>
      </c>
      <c r="BD157" s="5" t="n">
        <f aca="false">BD156+LN(1+($G157+BD$7)*$AM157)</f>
        <v>1.05817970591055</v>
      </c>
      <c r="BE157" s="5" t="n">
        <f aca="false">IF(AB157,O157,IF(D157,MIN(O157,AC157*X157+BF156),0))</f>
        <v>0</v>
      </c>
      <c r="BF157" s="5" t="n">
        <f aca="false">IF(OR(AB157,E157),0,BE157-AD157)</f>
        <v>0</v>
      </c>
      <c r="BG157" s="5" t="n">
        <f aca="false">BG156+LN(1+($G157+BG$7)*$AM157)</f>
        <v>1.0175783611148</v>
      </c>
      <c r="BH157" s="5"/>
      <c r="BI157" s="5" t="n">
        <f aca="false">BI156+LN(1+($G157+BI$7)*$AM157)</f>
        <v>1.0913906368249</v>
      </c>
      <c r="BJ157" s="5"/>
      <c r="BK157" s="62" t="n">
        <f aca="false">C157</f>
        <v>59671</v>
      </c>
      <c r="BL157" s="67" t="n">
        <f aca="false">AI157</f>
        <v>0</v>
      </c>
    </row>
    <row r="158" customFormat="false" ht="15" hidden="false" customHeight="true" outlineLevel="0" collapsed="false">
      <c r="A158" s="3" t="n">
        <v>148</v>
      </c>
      <c r="B158" s="38" t="n">
        <f aca="false">EDATE(Inputs!$C$8,3*(A158-1))</f>
        <v>59763</v>
      </c>
      <c r="C158" s="38" t="n">
        <f aca="false">WORKDAY(B158-1,1)</f>
        <v>59763</v>
      </c>
      <c r="D158" s="61" t="b">
        <f aca="false">C158&lt;=Inputs!$C$9</f>
        <v>0</v>
      </c>
      <c r="E158" s="61" t="b">
        <f aca="false">AND(D158,NOT(D159))</f>
        <v>0</v>
      </c>
      <c r="F158" s="63" t="n">
        <f aca="false">(C158-C157)/360</f>
        <v>0.255555555555556</v>
      </c>
      <c r="G158" s="57" t="n">
        <f aca="false">Curve!D151</f>
        <v>0.02252</v>
      </c>
      <c r="H158" s="64" t="n">
        <f aca="false">AF157</f>
        <v>0</v>
      </c>
      <c r="I158" s="64" t="n">
        <f aca="false">IF(D158,H158*Inputs!$G$22,0)</f>
        <v>0</v>
      </c>
      <c r="J158" s="32" t="n">
        <f aca="false">MAX(Inputs!$G$24-(A158-1),1)</f>
        <v>1</v>
      </c>
      <c r="K158" s="64" t="n">
        <f aca="false">IF(D158,MIN(H158-I158,IF(J158&gt;1,(H158-I158)*Inputs!$G$23/((1+Inputs!$G$23)^J158-1),H158-I158)),0)</f>
        <v>0</v>
      </c>
      <c r="L158" s="64" t="n">
        <f aca="false">IF(D158,(H158-I158-K158)*Inputs!$G$21,0)</f>
        <v>0</v>
      </c>
      <c r="M158" s="64" t="n">
        <f aca="false">IF(A158&gt;Inputs!$G$13,(1-Inputs!$G$12)*INDEX($I$11:$I$190,A158-Inputs!$G$13),0)</f>
        <v>0</v>
      </c>
      <c r="N158" s="64" t="n">
        <f aca="false">IF(D158,(H158-I158)*Inputs!$G$23,0)</f>
        <v>0</v>
      </c>
      <c r="O158" s="64" t="n">
        <f aca="false">AG157</f>
        <v>0</v>
      </c>
      <c r="P158" s="64" t="n">
        <f aca="false">AH157</f>
        <v>0</v>
      </c>
      <c r="Q158" s="64" t="n">
        <f aca="false">IF(AND(D158,O158+P158&gt;0),Inputs!$C$25+Inputs!$C$26*H158/4,0)</f>
        <v>0</v>
      </c>
      <c r="R158" s="64" t="n">
        <f aca="false">O158*IF(Inputs!$G$19="",G158+Inputs!$C$13,MAX(Inputs!$G$19,G158+Inputs!$C$13))*F158</f>
        <v>0</v>
      </c>
      <c r="S158" s="64" t="n">
        <f aca="false">P158*(G158+Inputs!$C$14)*F158</f>
        <v>0</v>
      </c>
      <c r="T158" s="64" t="n">
        <f aca="false">N158+M158-Q158-R158-S158</f>
        <v>0</v>
      </c>
      <c r="U158" s="64" t="n">
        <f aca="false">W157</f>
        <v>260422.420657149</v>
      </c>
      <c r="V158" s="64" t="n">
        <f aca="false">MIN(U158+I158,MAX(T158,0))</f>
        <v>0</v>
      </c>
      <c r="W158" s="64" t="n">
        <f aca="false">U158+I158-V158</f>
        <v>260422.420657149</v>
      </c>
      <c r="X158" s="64" t="n">
        <f aca="false">K158+L158+V158+IF(E158,H158-I158-K158-L158,0)</f>
        <v>0</v>
      </c>
      <c r="Y158" s="61" t="b">
        <f aca="false">AND(Inputs!$C$21=1,O158/Inputs!$C$10&lt;=Inputs!$C$22,Inputs!$G$14&lt;Inputs!$C$23,W158&lt;1)</f>
        <v>0</v>
      </c>
      <c r="Z158" s="61" t="b">
        <f aca="false">OR(AND(Inputs!$G$15=1,H158/Inputs!$C$17&lt;=Inputs!$C$24),AND(Inputs!$G$15=2,C158&gt;=Inputs!$G$16))</f>
        <v>0</v>
      </c>
      <c r="AA158" s="61" t="b">
        <f aca="false">OR(AA157,Z158)</f>
        <v>0</v>
      </c>
      <c r="AB158" s="61" t="b">
        <f aca="false">AND(Z158,NOT(AA157),D158,O158&gt;0)</f>
        <v>0</v>
      </c>
      <c r="AC158" s="63" t="n">
        <f aca="false">IF(AND(Y158,NOT(E158),O158+P158&gt;0),O158/(O158+P158),1)</f>
        <v>1</v>
      </c>
      <c r="AD158" s="64" t="n">
        <f aca="false">IF(AB158,O158,IF(D158,MIN(O158,IF(E158,AC158*X158+BF157,BE158*Inputs!$G$20)),0))</f>
        <v>0</v>
      </c>
      <c r="AE158" s="64" t="n">
        <f aca="false">IF(AB158,P158,IF(D158,MAX(MIN(P158,X158-MIN(O158,AC158*X158)),0),0))</f>
        <v>0</v>
      </c>
      <c r="AF158" s="64" t="n">
        <f aca="false">IF(OR(AB158,E158),0,MAX(H158-I158-K158-L158,0))</f>
        <v>0</v>
      </c>
      <c r="AG158" s="64" t="n">
        <f aca="false">IF(E158,0,O158-AD158)</f>
        <v>0</v>
      </c>
      <c r="AH158" s="64" t="n">
        <f aca="false">IF(OR(AB158,E158),0,P158-AE158)</f>
        <v>0</v>
      </c>
      <c r="AI158" s="64" t="n">
        <f aca="false">IF(D158,R158+AD158,0)</f>
        <v>0</v>
      </c>
      <c r="AJ158" s="65" t="n">
        <f aca="false">(C158-Inputs!$G$6)/365</f>
        <v>36.9150684931507</v>
      </c>
      <c r="AK158" s="29" t="n">
        <f aca="false">AG158/Inputs!$C$10</f>
        <v>0</v>
      </c>
      <c r="AL158" s="5"/>
      <c r="AM158" s="66" t="n">
        <f aca="false">F158</f>
        <v>0.255555555555556</v>
      </c>
      <c r="AN158" s="5"/>
      <c r="AO158" s="5" t="n">
        <f aca="false">AO157+LN(1+($G158+AO$7)*$AM158)</f>
        <v>0.93720772705746</v>
      </c>
      <c r="AP158" s="5" t="n">
        <f aca="false">AP157+LN(1+($G158+AP$7)*$AM158)</f>
        <v>0.940926797508286</v>
      </c>
      <c r="AQ158" s="5" t="n">
        <f aca="false">AQ157+LN(1+($G158+AQ$7)*$AM158)</f>
        <v>1.06038794690461</v>
      </c>
      <c r="AR158" s="5" t="n">
        <f aca="false">AR157+LN(1+($G158+AR$7)*$AM158)</f>
        <v>1.0641039188171</v>
      </c>
      <c r="AS158" s="5" t="n">
        <f aca="false">AS157+LN(1+($G158+AS$7)*$AM158)</f>
        <v>1.06173870408468</v>
      </c>
      <c r="AT158" s="5" t="n">
        <f aca="false">AT157+LN(1+($G158+AT$7)*$AM158)</f>
        <v>1.06545464203388</v>
      </c>
      <c r="AU158" s="5" t="n">
        <f aca="false">AU157+LN(1+($G158+AU$7)*$AM158)</f>
        <v>1.06173841568518</v>
      </c>
      <c r="AV158" s="5" t="n">
        <f aca="false">AV157+LN(1+($G158+AV$7)*$AM158)</f>
        <v>1.06545435364162</v>
      </c>
      <c r="AW158" s="5" t="n">
        <f aca="false">AW157+LN(1+($G158+AW$7)*$AM158)</f>
        <v>1.0617384157819</v>
      </c>
      <c r="AX158" s="5" t="n">
        <f aca="false">AX157+LN(1+($G158+AX$7)*$AM158)</f>
        <v>1.06545435373835</v>
      </c>
      <c r="AY158" s="5" t="n">
        <f aca="false">AY157+LN(1+($G158+AY$7)*$AM158)</f>
        <v>1.06173841578188</v>
      </c>
      <c r="AZ158" s="5" t="n">
        <f aca="false">AZ157+LN(1+($G158+AZ$7)*$AM158)</f>
        <v>1.06545435373832</v>
      </c>
      <c r="BA158" s="5" t="n">
        <f aca="false">BA157+LN(1+($G158+BA$7)*$AM158)</f>
        <v>1.06173841578188</v>
      </c>
      <c r="BB158" s="5" t="n">
        <f aca="false">BB157+LN(1+($G158+BB$7)*$AM158)</f>
        <v>1.06545435373832</v>
      </c>
      <c r="BC158" s="5" t="n">
        <f aca="false">BC157+LN(1+($G158+BC$7)*$AM158)</f>
        <v>1.06173841578188</v>
      </c>
      <c r="BD158" s="5" t="n">
        <f aca="false">BD157+LN(1+($G158+BD$7)*$AM158)</f>
        <v>1.06545435373832</v>
      </c>
      <c r="BE158" s="5" t="n">
        <f aca="false">IF(AB158,O158,IF(D158,MIN(O158,AC158*X158+BF157),0))</f>
        <v>0</v>
      </c>
      <c r="BF158" s="5" t="n">
        <f aca="false">IF(OR(AB158,E158),0,BE158-AD158)</f>
        <v>0</v>
      </c>
      <c r="BG158" s="5" t="n">
        <f aca="false">BG157+LN(1+($G158+BG$7)*$AM158)</f>
        <v>1.02457389644725</v>
      </c>
      <c r="BH158" s="5"/>
      <c r="BI158" s="5" t="n">
        <f aca="false">BI157+LN(1+($G158+BI$7)*$AM158)</f>
        <v>1.0988935914908</v>
      </c>
      <c r="BJ158" s="5"/>
      <c r="BK158" s="62" t="n">
        <f aca="false">C158</f>
        <v>59763</v>
      </c>
      <c r="BL158" s="67" t="n">
        <f aca="false">AI158</f>
        <v>0</v>
      </c>
    </row>
    <row r="159" customFormat="false" ht="15" hidden="false" customHeight="true" outlineLevel="0" collapsed="false">
      <c r="A159" s="3" t="n">
        <v>149</v>
      </c>
      <c r="B159" s="38" t="n">
        <f aca="false">EDATE(Inputs!$C$8,3*(A159-1))</f>
        <v>59855</v>
      </c>
      <c r="C159" s="38" t="n">
        <f aca="false">WORKDAY(B159-1,1)</f>
        <v>59855</v>
      </c>
      <c r="D159" s="61" t="b">
        <f aca="false">C159&lt;=Inputs!$C$9</f>
        <v>0</v>
      </c>
      <c r="E159" s="61" t="b">
        <f aca="false">AND(D159,NOT(D160))</f>
        <v>0</v>
      </c>
      <c r="F159" s="63" t="n">
        <f aca="false">(C159-C158)/360</f>
        <v>0.255555555555556</v>
      </c>
      <c r="G159" s="57" t="n">
        <f aca="false">Curve!D152</f>
        <v>0.02252</v>
      </c>
      <c r="H159" s="64" t="n">
        <f aca="false">AF158</f>
        <v>0</v>
      </c>
      <c r="I159" s="64" t="n">
        <f aca="false">IF(D159,H159*Inputs!$G$22,0)</f>
        <v>0</v>
      </c>
      <c r="J159" s="32" t="n">
        <f aca="false">MAX(Inputs!$G$24-(A159-1),1)</f>
        <v>1</v>
      </c>
      <c r="K159" s="64" t="n">
        <f aca="false">IF(D159,MIN(H159-I159,IF(J159&gt;1,(H159-I159)*Inputs!$G$23/((1+Inputs!$G$23)^J159-1),H159-I159)),0)</f>
        <v>0</v>
      </c>
      <c r="L159" s="64" t="n">
        <f aca="false">IF(D159,(H159-I159-K159)*Inputs!$G$21,0)</f>
        <v>0</v>
      </c>
      <c r="M159" s="64" t="n">
        <f aca="false">IF(A159&gt;Inputs!$G$13,(1-Inputs!$G$12)*INDEX($I$11:$I$190,A159-Inputs!$G$13),0)</f>
        <v>0</v>
      </c>
      <c r="N159" s="64" t="n">
        <f aca="false">IF(D159,(H159-I159)*Inputs!$G$23,0)</f>
        <v>0</v>
      </c>
      <c r="O159" s="64" t="n">
        <f aca="false">AG158</f>
        <v>0</v>
      </c>
      <c r="P159" s="64" t="n">
        <f aca="false">AH158</f>
        <v>0</v>
      </c>
      <c r="Q159" s="64" t="n">
        <f aca="false">IF(AND(D159,O159+P159&gt;0),Inputs!$C$25+Inputs!$C$26*H159/4,0)</f>
        <v>0</v>
      </c>
      <c r="R159" s="64" t="n">
        <f aca="false">O159*IF(Inputs!$G$19="",G159+Inputs!$C$13,MAX(Inputs!$G$19,G159+Inputs!$C$13))*F159</f>
        <v>0</v>
      </c>
      <c r="S159" s="64" t="n">
        <f aca="false">P159*(G159+Inputs!$C$14)*F159</f>
        <v>0</v>
      </c>
      <c r="T159" s="64" t="n">
        <f aca="false">N159+M159-Q159-R159-S159</f>
        <v>0</v>
      </c>
      <c r="U159" s="64" t="n">
        <f aca="false">W158</f>
        <v>260422.420657149</v>
      </c>
      <c r="V159" s="64" t="n">
        <f aca="false">MIN(U159+I159,MAX(T159,0))</f>
        <v>0</v>
      </c>
      <c r="W159" s="64" t="n">
        <f aca="false">U159+I159-V159</f>
        <v>260422.420657149</v>
      </c>
      <c r="X159" s="64" t="n">
        <f aca="false">K159+L159+V159+IF(E159,H159-I159-K159-L159,0)</f>
        <v>0</v>
      </c>
      <c r="Y159" s="61" t="b">
        <f aca="false">AND(Inputs!$C$21=1,O159/Inputs!$C$10&lt;=Inputs!$C$22,Inputs!$G$14&lt;Inputs!$C$23,W159&lt;1)</f>
        <v>0</v>
      </c>
      <c r="Z159" s="61" t="b">
        <f aca="false">OR(AND(Inputs!$G$15=1,H159/Inputs!$C$17&lt;=Inputs!$C$24),AND(Inputs!$G$15=2,C159&gt;=Inputs!$G$16))</f>
        <v>0</v>
      </c>
      <c r="AA159" s="61" t="b">
        <f aca="false">OR(AA158,Z159)</f>
        <v>0</v>
      </c>
      <c r="AB159" s="61" t="b">
        <f aca="false">AND(Z159,NOT(AA158),D159,O159&gt;0)</f>
        <v>0</v>
      </c>
      <c r="AC159" s="63" t="n">
        <f aca="false">IF(AND(Y159,NOT(E159),O159+P159&gt;0),O159/(O159+P159),1)</f>
        <v>1</v>
      </c>
      <c r="AD159" s="64" t="n">
        <f aca="false">IF(AB159,O159,IF(D159,MIN(O159,IF(E159,AC159*X159+BF158,BE159*Inputs!$G$20)),0))</f>
        <v>0</v>
      </c>
      <c r="AE159" s="64" t="n">
        <f aca="false">IF(AB159,P159,IF(D159,MAX(MIN(P159,X159-MIN(O159,AC159*X159)),0),0))</f>
        <v>0</v>
      </c>
      <c r="AF159" s="64" t="n">
        <f aca="false">IF(OR(AB159,E159),0,MAX(H159-I159-K159-L159,0))</f>
        <v>0</v>
      </c>
      <c r="AG159" s="64" t="n">
        <f aca="false">IF(E159,0,O159-AD159)</f>
        <v>0</v>
      </c>
      <c r="AH159" s="64" t="n">
        <f aca="false">IF(OR(AB159,E159),0,P159-AE159)</f>
        <v>0</v>
      </c>
      <c r="AI159" s="64" t="n">
        <f aca="false">IF(D159,R159+AD159,0)</f>
        <v>0</v>
      </c>
      <c r="AJ159" s="65" t="n">
        <f aca="false">(C159-Inputs!$G$6)/365</f>
        <v>37.1671232876712</v>
      </c>
      <c r="AK159" s="29" t="n">
        <f aca="false">AG159/Inputs!$C$10</f>
        <v>0</v>
      </c>
      <c r="AL159" s="5"/>
      <c r="AM159" s="66" t="n">
        <f aca="false">F159</f>
        <v>0.255555555555556</v>
      </c>
      <c r="AN159" s="5"/>
      <c r="AO159" s="5" t="n">
        <f aca="false">AO158+LN(1+($G159+AO$7)*$AM159)</f>
        <v>0.943606765028618</v>
      </c>
      <c r="AP159" s="5" t="n">
        <f aca="false">AP158+LN(1+($G159+AP$7)*$AM159)</f>
        <v>0.94735122770375</v>
      </c>
      <c r="AQ159" s="5" t="n">
        <f aca="false">AQ158+LN(1+($G159+AQ$7)*$AM159)</f>
        <v>1.06762800373209</v>
      </c>
      <c r="AR159" s="5" t="n">
        <f aca="false">AR158+LN(1+($G159+AR$7)*$AM159)</f>
        <v>1.0713693465228</v>
      </c>
      <c r="AS159" s="5" t="n">
        <f aca="false">AS158+LN(1+($G159+AS$7)*$AM159)</f>
        <v>1.06898798323655</v>
      </c>
      <c r="AT159" s="5" t="n">
        <f aca="false">AT158+LN(1+($G159+AT$7)*$AM159)</f>
        <v>1.07272929182999</v>
      </c>
      <c r="AU159" s="5" t="n">
        <f aca="false">AU158+LN(1+($G159+AU$7)*$AM159)</f>
        <v>1.06898769286799</v>
      </c>
      <c r="AV159" s="5" t="n">
        <f aca="false">AV158+LN(1+($G159+AV$7)*$AM159)</f>
        <v>1.07272900146873</v>
      </c>
      <c r="AW159" s="5" t="n">
        <f aca="false">AW158+LN(1+($G159+AW$7)*$AM159)</f>
        <v>1.06898769296537</v>
      </c>
      <c r="AX159" s="5" t="n">
        <f aca="false">AX158+LN(1+($G159+AX$7)*$AM159)</f>
        <v>1.07272900156611</v>
      </c>
      <c r="AY159" s="5" t="n">
        <f aca="false">AY158+LN(1+($G159+AY$7)*$AM159)</f>
        <v>1.06898769296535</v>
      </c>
      <c r="AZ159" s="5" t="n">
        <f aca="false">AZ158+LN(1+($G159+AZ$7)*$AM159)</f>
        <v>1.07272900156608</v>
      </c>
      <c r="BA159" s="5" t="n">
        <f aca="false">BA158+LN(1+($G159+BA$7)*$AM159)</f>
        <v>1.06898769296535</v>
      </c>
      <c r="BB159" s="5" t="n">
        <f aca="false">BB158+LN(1+($G159+BB$7)*$AM159)</f>
        <v>1.07272900156608</v>
      </c>
      <c r="BC159" s="5" t="n">
        <f aca="false">BC158+LN(1+($G159+BC$7)*$AM159)</f>
        <v>1.06898769296535</v>
      </c>
      <c r="BD159" s="5" t="n">
        <f aca="false">BD158+LN(1+($G159+BD$7)*$AM159)</f>
        <v>1.07272900156608</v>
      </c>
      <c r="BE159" s="5" t="n">
        <f aca="false">IF(AB159,O159,IF(D159,MIN(O159,AC159*X159+BF158),0))</f>
        <v>0</v>
      </c>
      <c r="BF159" s="5" t="n">
        <f aca="false">IF(OR(AB159,E159),0,BE159-AD159)</f>
        <v>0</v>
      </c>
      <c r="BG159" s="5" t="n">
        <f aca="false">BG158+LN(1+($G159+BG$7)*$AM159)</f>
        <v>1.0315694317797</v>
      </c>
      <c r="BH159" s="5"/>
      <c r="BI159" s="5" t="n">
        <f aca="false">BI158+LN(1+($G159+BI$7)*$AM159)</f>
        <v>1.1063965461567</v>
      </c>
      <c r="BJ159" s="5"/>
      <c r="BK159" s="62" t="n">
        <f aca="false">C159</f>
        <v>59855</v>
      </c>
      <c r="BL159" s="67" t="n">
        <f aca="false">AI159</f>
        <v>0</v>
      </c>
    </row>
    <row r="160" customFormat="false" ht="15" hidden="false" customHeight="true" outlineLevel="0" collapsed="false">
      <c r="A160" s="3" t="n">
        <v>150</v>
      </c>
      <c r="B160" s="38" t="n">
        <f aca="false">EDATE(Inputs!$C$8,3*(A160-1))</f>
        <v>59947</v>
      </c>
      <c r="C160" s="38" t="n">
        <f aca="false">WORKDAY(B160-1,1)</f>
        <v>59947</v>
      </c>
      <c r="D160" s="61" t="b">
        <f aca="false">C160&lt;=Inputs!$C$9</f>
        <v>0</v>
      </c>
      <c r="E160" s="61" t="b">
        <f aca="false">AND(D160,NOT(D161))</f>
        <v>0</v>
      </c>
      <c r="F160" s="63" t="n">
        <f aca="false">(C160-C159)/360</f>
        <v>0.255555555555556</v>
      </c>
      <c r="G160" s="57" t="n">
        <f aca="false">Curve!D153</f>
        <v>0.02252</v>
      </c>
      <c r="H160" s="64" t="n">
        <f aca="false">AF159</f>
        <v>0</v>
      </c>
      <c r="I160" s="64" t="n">
        <f aca="false">IF(D160,H160*Inputs!$G$22,0)</f>
        <v>0</v>
      </c>
      <c r="J160" s="32" t="n">
        <f aca="false">MAX(Inputs!$G$24-(A160-1),1)</f>
        <v>1</v>
      </c>
      <c r="K160" s="64" t="n">
        <f aca="false">IF(D160,MIN(H160-I160,IF(J160&gt;1,(H160-I160)*Inputs!$G$23/((1+Inputs!$G$23)^J160-1),H160-I160)),0)</f>
        <v>0</v>
      </c>
      <c r="L160" s="64" t="n">
        <f aca="false">IF(D160,(H160-I160-K160)*Inputs!$G$21,0)</f>
        <v>0</v>
      </c>
      <c r="M160" s="64" t="n">
        <f aca="false">IF(A160&gt;Inputs!$G$13,(1-Inputs!$G$12)*INDEX($I$11:$I$190,A160-Inputs!$G$13),0)</f>
        <v>0</v>
      </c>
      <c r="N160" s="64" t="n">
        <f aca="false">IF(D160,(H160-I160)*Inputs!$G$23,0)</f>
        <v>0</v>
      </c>
      <c r="O160" s="64" t="n">
        <f aca="false">AG159</f>
        <v>0</v>
      </c>
      <c r="P160" s="64" t="n">
        <f aca="false">AH159</f>
        <v>0</v>
      </c>
      <c r="Q160" s="64" t="n">
        <f aca="false">IF(AND(D160,O160+P160&gt;0),Inputs!$C$25+Inputs!$C$26*H160/4,0)</f>
        <v>0</v>
      </c>
      <c r="R160" s="64" t="n">
        <f aca="false">O160*IF(Inputs!$G$19="",G160+Inputs!$C$13,MAX(Inputs!$G$19,G160+Inputs!$C$13))*F160</f>
        <v>0</v>
      </c>
      <c r="S160" s="64" t="n">
        <f aca="false">P160*(G160+Inputs!$C$14)*F160</f>
        <v>0</v>
      </c>
      <c r="T160" s="64" t="n">
        <f aca="false">N160+M160-Q160-R160-S160</f>
        <v>0</v>
      </c>
      <c r="U160" s="64" t="n">
        <f aca="false">W159</f>
        <v>260422.420657149</v>
      </c>
      <c r="V160" s="64" t="n">
        <f aca="false">MIN(U160+I160,MAX(T160,0))</f>
        <v>0</v>
      </c>
      <c r="W160" s="64" t="n">
        <f aca="false">U160+I160-V160</f>
        <v>260422.420657149</v>
      </c>
      <c r="X160" s="64" t="n">
        <f aca="false">K160+L160+V160+IF(E160,H160-I160-K160-L160,0)</f>
        <v>0</v>
      </c>
      <c r="Y160" s="61" t="b">
        <f aca="false">AND(Inputs!$C$21=1,O160/Inputs!$C$10&lt;=Inputs!$C$22,Inputs!$G$14&lt;Inputs!$C$23,W160&lt;1)</f>
        <v>0</v>
      </c>
      <c r="Z160" s="61" t="b">
        <f aca="false">OR(AND(Inputs!$G$15=1,H160/Inputs!$C$17&lt;=Inputs!$C$24),AND(Inputs!$G$15=2,C160&gt;=Inputs!$G$16))</f>
        <v>0</v>
      </c>
      <c r="AA160" s="61" t="b">
        <f aca="false">OR(AA159,Z160)</f>
        <v>0</v>
      </c>
      <c r="AB160" s="61" t="b">
        <f aca="false">AND(Z160,NOT(AA159),D160,O160&gt;0)</f>
        <v>0</v>
      </c>
      <c r="AC160" s="63" t="n">
        <f aca="false">IF(AND(Y160,NOT(E160),O160+P160&gt;0),O160/(O160+P160),1)</f>
        <v>1</v>
      </c>
      <c r="AD160" s="64" t="n">
        <f aca="false">IF(AB160,O160,IF(D160,MIN(O160,IF(E160,AC160*X160+BF159,BE160*Inputs!$G$20)),0))</f>
        <v>0</v>
      </c>
      <c r="AE160" s="64" t="n">
        <f aca="false">IF(AB160,P160,IF(D160,MAX(MIN(P160,X160-MIN(O160,AC160*X160)),0),0))</f>
        <v>0</v>
      </c>
      <c r="AF160" s="64" t="n">
        <f aca="false">IF(OR(AB160,E160),0,MAX(H160-I160-K160-L160,0))</f>
        <v>0</v>
      </c>
      <c r="AG160" s="64" t="n">
        <f aca="false">IF(E160,0,O160-AD160)</f>
        <v>0</v>
      </c>
      <c r="AH160" s="64" t="n">
        <f aca="false">IF(OR(AB160,E160),0,P160-AE160)</f>
        <v>0</v>
      </c>
      <c r="AI160" s="64" t="n">
        <f aca="false">IF(D160,R160+AD160,0)</f>
        <v>0</v>
      </c>
      <c r="AJ160" s="65" t="n">
        <f aca="false">(C160-Inputs!$G$6)/365</f>
        <v>37.4191780821918</v>
      </c>
      <c r="AK160" s="29" t="n">
        <f aca="false">AG160/Inputs!$C$10</f>
        <v>0</v>
      </c>
      <c r="AL160" s="5"/>
      <c r="AM160" s="66" t="n">
        <f aca="false">F160</f>
        <v>0.255555555555556</v>
      </c>
      <c r="AN160" s="5"/>
      <c r="AO160" s="5" t="n">
        <f aca="false">AO159+LN(1+($G160+AO$7)*$AM160)</f>
        <v>0.950005802999775</v>
      </c>
      <c r="AP160" s="5" t="n">
        <f aca="false">AP159+LN(1+($G160+AP$7)*$AM160)</f>
        <v>0.953775657899213</v>
      </c>
      <c r="AQ160" s="5" t="n">
        <f aca="false">AQ159+LN(1+($G160+AQ$7)*$AM160)</f>
        <v>1.07486806055957</v>
      </c>
      <c r="AR160" s="5" t="n">
        <f aca="false">AR159+LN(1+($G160+AR$7)*$AM160)</f>
        <v>1.0786347742285</v>
      </c>
      <c r="AS160" s="5" t="n">
        <f aca="false">AS159+LN(1+($G160+AS$7)*$AM160)</f>
        <v>1.07623726238841</v>
      </c>
      <c r="AT160" s="5" t="n">
        <f aca="false">AT159+LN(1+($G160+AT$7)*$AM160)</f>
        <v>1.08000394162609</v>
      </c>
      <c r="AU160" s="5" t="n">
        <f aca="false">AU159+LN(1+($G160+AU$7)*$AM160)</f>
        <v>1.0762369700508</v>
      </c>
      <c r="AV160" s="5" t="n">
        <f aca="false">AV159+LN(1+($G160+AV$7)*$AM160)</f>
        <v>1.08000364929583</v>
      </c>
      <c r="AW160" s="5" t="n">
        <f aca="false">AW159+LN(1+($G160+AW$7)*$AM160)</f>
        <v>1.07623697014884</v>
      </c>
      <c r="AX160" s="5" t="n">
        <f aca="false">AX159+LN(1+($G160+AX$7)*$AM160)</f>
        <v>1.08000364939388</v>
      </c>
      <c r="AY160" s="5" t="n">
        <f aca="false">AY159+LN(1+($G160+AY$7)*$AM160)</f>
        <v>1.07623697014882</v>
      </c>
      <c r="AZ160" s="5" t="n">
        <f aca="false">AZ159+LN(1+($G160+AZ$7)*$AM160)</f>
        <v>1.08000364939384</v>
      </c>
      <c r="BA160" s="5" t="n">
        <f aca="false">BA159+LN(1+($G160+BA$7)*$AM160)</f>
        <v>1.07623697014882</v>
      </c>
      <c r="BB160" s="5" t="n">
        <f aca="false">BB159+LN(1+($G160+BB$7)*$AM160)</f>
        <v>1.08000364939384</v>
      </c>
      <c r="BC160" s="5" t="n">
        <f aca="false">BC159+LN(1+($G160+BC$7)*$AM160)</f>
        <v>1.07623697014882</v>
      </c>
      <c r="BD160" s="5" t="n">
        <f aca="false">BD159+LN(1+($G160+BD$7)*$AM160)</f>
        <v>1.08000364939384</v>
      </c>
      <c r="BE160" s="5" t="n">
        <f aca="false">IF(AB160,O160,IF(D160,MIN(O160,AC160*X160+BF159),0))</f>
        <v>0</v>
      </c>
      <c r="BF160" s="5" t="n">
        <f aca="false">IF(OR(AB160,E160),0,BE160-AD160)</f>
        <v>0</v>
      </c>
      <c r="BG160" s="5" t="n">
        <f aca="false">BG159+LN(1+($G160+BG$7)*$AM160)</f>
        <v>1.03856496711215</v>
      </c>
      <c r="BH160" s="5"/>
      <c r="BI160" s="5" t="n">
        <f aca="false">BI159+LN(1+($G160+BI$7)*$AM160)</f>
        <v>1.1138995008226</v>
      </c>
      <c r="BJ160" s="5"/>
      <c r="BK160" s="62" t="n">
        <f aca="false">C160</f>
        <v>59947</v>
      </c>
      <c r="BL160" s="67" t="n">
        <f aca="false">AI160</f>
        <v>0</v>
      </c>
    </row>
    <row r="161" customFormat="false" ht="15" hidden="false" customHeight="true" outlineLevel="0" collapsed="false">
      <c r="A161" s="3" t="n">
        <v>151</v>
      </c>
      <c r="B161" s="38" t="n">
        <f aca="false">EDATE(Inputs!$C$8,3*(A161-1))</f>
        <v>60037</v>
      </c>
      <c r="C161" s="38" t="n">
        <f aca="false">WORKDAY(B161-1,1)</f>
        <v>60037</v>
      </c>
      <c r="D161" s="61" t="b">
        <f aca="false">C161&lt;=Inputs!$C$9</f>
        <v>0</v>
      </c>
      <c r="E161" s="61" t="b">
        <f aca="false">AND(D161,NOT(D162))</f>
        <v>0</v>
      </c>
      <c r="F161" s="63" t="n">
        <f aca="false">(C161-C160)/360</f>
        <v>0.25</v>
      </c>
      <c r="G161" s="57" t="n">
        <f aca="false">Curve!D154</f>
        <v>0.02252</v>
      </c>
      <c r="H161" s="64" t="n">
        <f aca="false">AF160</f>
        <v>0</v>
      </c>
      <c r="I161" s="64" t="n">
        <f aca="false">IF(D161,H161*Inputs!$G$22,0)</f>
        <v>0</v>
      </c>
      <c r="J161" s="32" t="n">
        <f aca="false">MAX(Inputs!$G$24-(A161-1),1)</f>
        <v>1</v>
      </c>
      <c r="K161" s="64" t="n">
        <f aca="false">IF(D161,MIN(H161-I161,IF(J161&gt;1,(H161-I161)*Inputs!$G$23/((1+Inputs!$G$23)^J161-1),H161-I161)),0)</f>
        <v>0</v>
      </c>
      <c r="L161" s="64" t="n">
        <f aca="false">IF(D161,(H161-I161-K161)*Inputs!$G$21,0)</f>
        <v>0</v>
      </c>
      <c r="M161" s="64" t="n">
        <f aca="false">IF(A161&gt;Inputs!$G$13,(1-Inputs!$G$12)*INDEX($I$11:$I$190,A161-Inputs!$G$13),0)</f>
        <v>0</v>
      </c>
      <c r="N161" s="64" t="n">
        <f aca="false">IF(D161,(H161-I161)*Inputs!$G$23,0)</f>
        <v>0</v>
      </c>
      <c r="O161" s="64" t="n">
        <f aca="false">AG160</f>
        <v>0</v>
      </c>
      <c r="P161" s="64" t="n">
        <f aca="false">AH160</f>
        <v>0</v>
      </c>
      <c r="Q161" s="64" t="n">
        <f aca="false">IF(AND(D161,O161+P161&gt;0),Inputs!$C$25+Inputs!$C$26*H161/4,0)</f>
        <v>0</v>
      </c>
      <c r="R161" s="64" t="n">
        <f aca="false">O161*IF(Inputs!$G$19="",G161+Inputs!$C$13,MAX(Inputs!$G$19,G161+Inputs!$C$13))*F161</f>
        <v>0</v>
      </c>
      <c r="S161" s="64" t="n">
        <f aca="false">P161*(G161+Inputs!$C$14)*F161</f>
        <v>0</v>
      </c>
      <c r="T161" s="64" t="n">
        <f aca="false">N161+M161-Q161-R161-S161</f>
        <v>0</v>
      </c>
      <c r="U161" s="64" t="n">
        <f aca="false">W160</f>
        <v>260422.420657149</v>
      </c>
      <c r="V161" s="64" t="n">
        <f aca="false">MIN(U161+I161,MAX(T161,0))</f>
        <v>0</v>
      </c>
      <c r="W161" s="64" t="n">
        <f aca="false">U161+I161-V161</f>
        <v>260422.420657149</v>
      </c>
      <c r="X161" s="64" t="n">
        <f aca="false">K161+L161+V161+IF(E161,H161-I161-K161-L161,0)</f>
        <v>0</v>
      </c>
      <c r="Y161" s="61" t="b">
        <f aca="false">AND(Inputs!$C$21=1,O161/Inputs!$C$10&lt;=Inputs!$C$22,Inputs!$G$14&lt;Inputs!$C$23,W161&lt;1)</f>
        <v>0</v>
      </c>
      <c r="Z161" s="61" t="b">
        <f aca="false">OR(AND(Inputs!$G$15=1,H161/Inputs!$C$17&lt;=Inputs!$C$24),AND(Inputs!$G$15=2,C161&gt;=Inputs!$G$16))</f>
        <v>0</v>
      </c>
      <c r="AA161" s="61" t="b">
        <f aca="false">OR(AA160,Z161)</f>
        <v>0</v>
      </c>
      <c r="AB161" s="61" t="b">
        <f aca="false">AND(Z161,NOT(AA160),D161,O161&gt;0)</f>
        <v>0</v>
      </c>
      <c r="AC161" s="63" t="n">
        <f aca="false">IF(AND(Y161,NOT(E161),O161+P161&gt;0),O161/(O161+P161),1)</f>
        <v>1</v>
      </c>
      <c r="AD161" s="64" t="n">
        <f aca="false">IF(AB161,O161,IF(D161,MIN(O161,IF(E161,AC161*X161+BF160,BE161*Inputs!$G$20)),0))</f>
        <v>0</v>
      </c>
      <c r="AE161" s="64" t="n">
        <f aca="false">IF(AB161,P161,IF(D161,MAX(MIN(P161,X161-MIN(O161,AC161*X161)),0),0))</f>
        <v>0</v>
      </c>
      <c r="AF161" s="64" t="n">
        <f aca="false">IF(OR(AB161,E161),0,MAX(H161-I161-K161-L161,0))</f>
        <v>0</v>
      </c>
      <c r="AG161" s="64" t="n">
        <f aca="false">IF(E161,0,O161-AD161)</f>
        <v>0</v>
      </c>
      <c r="AH161" s="64" t="n">
        <f aca="false">IF(OR(AB161,E161),0,P161-AE161)</f>
        <v>0</v>
      </c>
      <c r="AI161" s="64" t="n">
        <f aca="false">IF(D161,R161+AD161,0)</f>
        <v>0</v>
      </c>
      <c r="AJ161" s="65" t="n">
        <f aca="false">(C161-Inputs!$G$6)/365</f>
        <v>37.6657534246575</v>
      </c>
      <c r="AK161" s="29" t="n">
        <f aca="false">AG161/Inputs!$C$10</f>
        <v>0</v>
      </c>
      <c r="AL161" s="5"/>
      <c r="AM161" s="66" t="n">
        <f aca="false">F161</f>
        <v>0.25</v>
      </c>
      <c r="AN161" s="5"/>
      <c r="AO161" s="5" t="n">
        <f aca="false">AO160+LN(1+($G161+AO$7)*$AM161)</f>
        <v>0.956266165970589</v>
      </c>
      <c r="AP161" s="5" t="n">
        <f aca="false">AP160+LN(1+($G161+AP$7)*$AM161)</f>
        <v>0.960060864541227</v>
      </c>
      <c r="AQ161" s="5" t="n">
        <f aca="false">AQ160+LN(1+($G161+AQ$7)*$AM161)</f>
        <v>1.08195128094204</v>
      </c>
      <c r="AR161" s="5" t="n">
        <f aca="false">AR160+LN(1+($G161+AR$7)*$AM161)</f>
        <v>1.08574281784803</v>
      </c>
      <c r="AS161" s="5" t="n">
        <f aca="false">AS160+LN(1+($G161+AS$7)*$AM161)</f>
        <v>1.08332950602592</v>
      </c>
      <c r="AT161" s="5" t="n">
        <f aca="false">AT160+LN(1+($G161+AT$7)*$AM161)</f>
        <v>1.08712100827668</v>
      </c>
      <c r="AU161" s="5" t="n">
        <f aca="false">AU160+LN(1+($G161+AU$7)*$AM161)</f>
        <v>1.08332921176175</v>
      </c>
      <c r="AV161" s="5" t="n">
        <f aca="false">AV160+LN(1+($G161+AV$7)*$AM161)</f>
        <v>1.08712071401991</v>
      </c>
      <c r="AW161" s="5" t="n">
        <f aca="false">AW160+LN(1+($G161+AW$7)*$AM161)</f>
        <v>1.08332921186044</v>
      </c>
      <c r="AX161" s="5" t="n">
        <f aca="false">AX160+LN(1+($G161+AX$7)*$AM161)</f>
        <v>1.0871207141186</v>
      </c>
      <c r="AY161" s="5" t="n">
        <f aca="false">AY160+LN(1+($G161+AY$7)*$AM161)</f>
        <v>1.08332921186042</v>
      </c>
      <c r="AZ161" s="5" t="n">
        <f aca="false">AZ160+LN(1+($G161+AZ$7)*$AM161)</f>
        <v>1.08712071411857</v>
      </c>
      <c r="BA161" s="5" t="n">
        <f aca="false">BA160+LN(1+($G161+BA$7)*$AM161)</f>
        <v>1.08332921186042</v>
      </c>
      <c r="BB161" s="5" t="n">
        <f aca="false">BB160+LN(1+($G161+BB$7)*$AM161)</f>
        <v>1.08712071411857</v>
      </c>
      <c r="BC161" s="5" t="n">
        <f aca="false">BC160+LN(1+($G161+BC$7)*$AM161)</f>
        <v>1.08332921186042</v>
      </c>
      <c r="BD161" s="5" t="n">
        <f aca="false">BD160+LN(1+($G161+BD$7)*$AM161)</f>
        <v>1.08712071411857</v>
      </c>
      <c r="BE161" s="5" t="n">
        <f aca="false">IF(AB161,O161,IF(D161,MIN(O161,AC161*X161+BF160),0))</f>
        <v>0</v>
      </c>
      <c r="BF161" s="5" t="n">
        <f aca="false">IF(OR(AB161,E161),0,BE161-AD161)</f>
        <v>0</v>
      </c>
      <c r="BG161" s="5" t="n">
        <f aca="false">BG160+LN(1+($G161+BG$7)*$AM161)</f>
        <v>1.04540894479656</v>
      </c>
      <c r="BH161" s="5"/>
      <c r="BI161" s="5" t="n">
        <f aca="false">BI160+LN(1+($G161+BI$7)*$AM161)</f>
        <v>1.12123994494166</v>
      </c>
      <c r="BJ161" s="5"/>
      <c r="BK161" s="62" t="n">
        <f aca="false">C161</f>
        <v>60037</v>
      </c>
      <c r="BL161" s="67" t="n">
        <f aca="false">AI161</f>
        <v>0</v>
      </c>
    </row>
    <row r="162" customFormat="false" ht="15" hidden="false" customHeight="true" outlineLevel="0" collapsed="false">
      <c r="A162" s="3" t="n">
        <v>152</v>
      </c>
      <c r="B162" s="38" t="n">
        <f aca="false">EDATE(Inputs!$C$8,3*(A162-1))</f>
        <v>60129</v>
      </c>
      <c r="C162" s="38" t="n">
        <f aca="false">WORKDAY(B162-1,1)</f>
        <v>60129</v>
      </c>
      <c r="D162" s="61" t="b">
        <f aca="false">C162&lt;=Inputs!$C$9</f>
        <v>0</v>
      </c>
      <c r="E162" s="61" t="b">
        <f aca="false">AND(D162,NOT(D163))</f>
        <v>0</v>
      </c>
      <c r="F162" s="63" t="n">
        <f aca="false">(C162-C161)/360</f>
        <v>0.255555555555556</v>
      </c>
      <c r="G162" s="57" t="n">
        <f aca="false">Curve!D155</f>
        <v>0.02252</v>
      </c>
      <c r="H162" s="64" t="n">
        <f aca="false">AF161</f>
        <v>0</v>
      </c>
      <c r="I162" s="64" t="n">
        <f aca="false">IF(D162,H162*Inputs!$G$22,0)</f>
        <v>0</v>
      </c>
      <c r="J162" s="32" t="n">
        <f aca="false">MAX(Inputs!$G$24-(A162-1),1)</f>
        <v>1</v>
      </c>
      <c r="K162" s="64" t="n">
        <f aca="false">IF(D162,MIN(H162-I162,IF(J162&gt;1,(H162-I162)*Inputs!$G$23/((1+Inputs!$G$23)^J162-1),H162-I162)),0)</f>
        <v>0</v>
      </c>
      <c r="L162" s="64" t="n">
        <f aca="false">IF(D162,(H162-I162-K162)*Inputs!$G$21,0)</f>
        <v>0</v>
      </c>
      <c r="M162" s="64" t="n">
        <f aca="false">IF(A162&gt;Inputs!$G$13,(1-Inputs!$G$12)*INDEX($I$11:$I$190,A162-Inputs!$G$13),0)</f>
        <v>0</v>
      </c>
      <c r="N162" s="64" t="n">
        <f aca="false">IF(D162,(H162-I162)*Inputs!$G$23,0)</f>
        <v>0</v>
      </c>
      <c r="O162" s="64" t="n">
        <f aca="false">AG161</f>
        <v>0</v>
      </c>
      <c r="P162" s="64" t="n">
        <f aca="false">AH161</f>
        <v>0</v>
      </c>
      <c r="Q162" s="64" t="n">
        <f aca="false">IF(AND(D162,O162+P162&gt;0),Inputs!$C$25+Inputs!$C$26*H162/4,0)</f>
        <v>0</v>
      </c>
      <c r="R162" s="64" t="n">
        <f aca="false">O162*IF(Inputs!$G$19="",G162+Inputs!$C$13,MAX(Inputs!$G$19,G162+Inputs!$C$13))*F162</f>
        <v>0</v>
      </c>
      <c r="S162" s="64" t="n">
        <f aca="false">P162*(G162+Inputs!$C$14)*F162</f>
        <v>0</v>
      </c>
      <c r="T162" s="64" t="n">
        <f aca="false">N162+M162-Q162-R162-S162</f>
        <v>0</v>
      </c>
      <c r="U162" s="64" t="n">
        <f aca="false">W161</f>
        <v>260422.420657149</v>
      </c>
      <c r="V162" s="64" t="n">
        <f aca="false">MIN(U162+I162,MAX(T162,0))</f>
        <v>0</v>
      </c>
      <c r="W162" s="64" t="n">
        <f aca="false">U162+I162-V162</f>
        <v>260422.420657149</v>
      </c>
      <c r="X162" s="64" t="n">
        <f aca="false">K162+L162+V162+IF(E162,H162-I162-K162-L162,0)</f>
        <v>0</v>
      </c>
      <c r="Y162" s="61" t="b">
        <f aca="false">AND(Inputs!$C$21=1,O162/Inputs!$C$10&lt;=Inputs!$C$22,Inputs!$G$14&lt;Inputs!$C$23,W162&lt;1)</f>
        <v>0</v>
      </c>
      <c r="Z162" s="61" t="b">
        <f aca="false">OR(AND(Inputs!$G$15=1,H162/Inputs!$C$17&lt;=Inputs!$C$24),AND(Inputs!$G$15=2,C162&gt;=Inputs!$G$16))</f>
        <v>0</v>
      </c>
      <c r="AA162" s="61" t="b">
        <f aca="false">OR(AA161,Z162)</f>
        <v>0</v>
      </c>
      <c r="AB162" s="61" t="b">
        <f aca="false">AND(Z162,NOT(AA161),D162,O162&gt;0)</f>
        <v>0</v>
      </c>
      <c r="AC162" s="63" t="n">
        <f aca="false">IF(AND(Y162,NOT(E162),O162+P162&gt;0),O162/(O162+P162),1)</f>
        <v>1</v>
      </c>
      <c r="AD162" s="64" t="n">
        <f aca="false">IF(AB162,O162,IF(D162,MIN(O162,IF(E162,AC162*X162+BF161,BE162*Inputs!$G$20)),0))</f>
        <v>0</v>
      </c>
      <c r="AE162" s="64" t="n">
        <f aca="false">IF(AB162,P162,IF(D162,MAX(MIN(P162,X162-MIN(O162,AC162*X162)),0),0))</f>
        <v>0</v>
      </c>
      <c r="AF162" s="64" t="n">
        <f aca="false">IF(OR(AB162,E162),0,MAX(H162-I162-K162-L162,0))</f>
        <v>0</v>
      </c>
      <c r="AG162" s="64" t="n">
        <f aca="false">IF(E162,0,O162-AD162)</f>
        <v>0</v>
      </c>
      <c r="AH162" s="64" t="n">
        <f aca="false">IF(OR(AB162,E162),0,P162-AE162)</f>
        <v>0</v>
      </c>
      <c r="AI162" s="64" t="n">
        <f aca="false">IF(D162,R162+AD162,0)</f>
        <v>0</v>
      </c>
      <c r="AJ162" s="65" t="n">
        <f aca="false">(C162-Inputs!$G$6)/365</f>
        <v>37.9178082191781</v>
      </c>
      <c r="AK162" s="29" t="n">
        <f aca="false">AG162/Inputs!$C$10</f>
        <v>0</v>
      </c>
      <c r="AL162" s="5"/>
      <c r="AM162" s="66" t="n">
        <f aca="false">F162</f>
        <v>0.255555555555556</v>
      </c>
      <c r="AN162" s="5"/>
      <c r="AO162" s="5" t="n">
        <f aca="false">AO161+LN(1+($G162+AO$7)*$AM162)</f>
        <v>0.962665203941747</v>
      </c>
      <c r="AP162" s="5" t="n">
        <f aca="false">AP161+LN(1+($G162+AP$7)*$AM162)</f>
        <v>0.966485294736691</v>
      </c>
      <c r="AQ162" s="5" t="n">
        <f aca="false">AQ161+LN(1+($G162+AQ$7)*$AM162)</f>
        <v>1.08919133776952</v>
      </c>
      <c r="AR162" s="5" t="n">
        <f aca="false">AR161+LN(1+($G162+AR$7)*$AM162)</f>
        <v>1.09300824555372</v>
      </c>
      <c r="AS162" s="5" t="n">
        <f aca="false">AS161+LN(1+($G162+AS$7)*$AM162)</f>
        <v>1.09057878517778</v>
      </c>
      <c r="AT162" s="5" t="n">
        <f aca="false">AT161+LN(1+($G162+AT$7)*$AM162)</f>
        <v>1.09439565807278</v>
      </c>
      <c r="AU162" s="5" t="n">
        <f aca="false">AU161+LN(1+($G162+AU$7)*$AM162)</f>
        <v>1.09057848894456</v>
      </c>
      <c r="AV162" s="5" t="n">
        <f aca="false">AV161+LN(1+($G162+AV$7)*$AM162)</f>
        <v>1.09439536184701</v>
      </c>
      <c r="AW162" s="5" t="n">
        <f aca="false">AW161+LN(1+($G162+AW$7)*$AM162)</f>
        <v>1.09057848904391</v>
      </c>
      <c r="AX162" s="5" t="n">
        <f aca="false">AX161+LN(1+($G162+AX$7)*$AM162)</f>
        <v>1.09439536194637</v>
      </c>
      <c r="AY162" s="5" t="n">
        <f aca="false">AY161+LN(1+($G162+AY$7)*$AM162)</f>
        <v>1.09057848904389</v>
      </c>
      <c r="AZ162" s="5" t="n">
        <f aca="false">AZ161+LN(1+($G162+AZ$7)*$AM162)</f>
        <v>1.09439536194633</v>
      </c>
      <c r="BA162" s="5" t="n">
        <f aca="false">BA161+LN(1+($G162+BA$7)*$AM162)</f>
        <v>1.09057848904389</v>
      </c>
      <c r="BB162" s="5" t="n">
        <f aca="false">BB161+LN(1+($G162+BB$7)*$AM162)</f>
        <v>1.09439536194633</v>
      </c>
      <c r="BC162" s="5" t="n">
        <f aca="false">BC161+LN(1+($G162+BC$7)*$AM162)</f>
        <v>1.09057848904389</v>
      </c>
      <c r="BD162" s="5" t="n">
        <f aca="false">BD161+LN(1+($G162+BD$7)*$AM162)</f>
        <v>1.09439536194633</v>
      </c>
      <c r="BE162" s="5" t="n">
        <f aca="false">IF(AB162,O162,IF(D162,MIN(O162,AC162*X162+BF161),0))</f>
        <v>0</v>
      </c>
      <c r="BF162" s="5" t="n">
        <f aca="false">IF(OR(AB162,E162),0,BE162-AD162)</f>
        <v>0</v>
      </c>
      <c r="BG162" s="5" t="n">
        <f aca="false">BG161+LN(1+($G162+BG$7)*$AM162)</f>
        <v>1.05240448012901</v>
      </c>
      <c r="BH162" s="5"/>
      <c r="BI162" s="5" t="n">
        <f aca="false">BI161+LN(1+($G162+BI$7)*$AM162)</f>
        <v>1.12874289960756</v>
      </c>
      <c r="BJ162" s="5"/>
      <c r="BK162" s="62" t="n">
        <f aca="false">C162</f>
        <v>60129</v>
      </c>
      <c r="BL162" s="67" t="n">
        <f aca="false">AI162</f>
        <v>0</v>
      </c>
    </row>
    <row r="163" customFormat="false" ht="15" hidden="false" customHeight="true" outlineLevel="0" collapsed="false">
      <c r="A163" s="3" t="n">
        <v>153</v>
      </c>
      <c r="B163" s="38" t="n">
        <f aca="false">EDATE(Inputs!$C$8,3*(A163-1))</f>
        <v>60221</v>
      </c>
      <c r="C163" s="38" t="n">
        <f aca="false">WORKDAY(B163-1,1)</f>
        <v>60223</v>
      </c>
      <c r="D163" s="61" t="b">
        <f aca="false">C163&lt;=Inputs!$C$9</f>
        <v>0</v>
      </c>
      <c r="E163" s="61" t="b">
        <f aca="false">AND(D163,NOT(D164))</f>
        <v>0</v>
      </c>
      <c r="F163" s="63" t="n">
        <f aca="false">(C163-C162)/360</f>
        <v>0.261111111111111</v>
      </c>
      <c r="G163" s="57" t="n">
        <f aca="false">Curve!D156</f>
        <v>0.02252</v>
      </c>
      <c r="H163" s="64" t="n">
        <f aca="false">AF162</f>
        <v>0</v>
      </c>
      <c r="I163" s="64" t="n">
        <f aca="false">IF(D163,H163*Inputs!$G$22,0)</f>
        <v>0</v>
      </c>
      <c r="J163" s="32" t="n">
        <f aca="false">MAX(Inputs!$G$24-(A163-1),1)</f>
        <v>1</v>
      </c>
      <c r="K163" s="64" t="n">
        <f aca="false">IF(D163,MIN(H163-I163,IF(J163&gt;1,(H163-I163)*Inputs!$G$23/((1+Inputs!$G$23)^J163-1),H163-I163)),0)</f>
        <v>0</v>
      </c>
      <c r="L163" s="64" t="n">
        <f aca="false">IF(D163,(H163-I163-K163)*Inputs!$G$21,0)</f>
        <v>0</v>
      </c>
      <c r="M163" s="64" t="n">
        <f aca="false">IF(A163&gt;Inputs!$G$13,(1-Inputs!$G$12)*INDEX($I$11:$I$190,A163-Inputs!$G$13),0)</f>
        <v>0</v>
      </c>
      <c r="N163" s="64" t="n">
        <f aca="false">IF(D163,(H163-I163)*Inputs!$G$23,0)</f>
        <v>0</v>
      </c>
      <c r="O163" s="64" t="n">
        <f aca="false">AG162</f>
        <v>0</v>
      </c>
      <c r="P163" s="64" t="n">
        <f aca="false">AH162</f>
        <v>0</v>
      </c>
      <c r="Q163" s="64" t="n">
        <f aca="false">IF(AND(D163,O163+P163&gt;0),Inputs!$C$25+Inputs!$C$26*H163/4,0)</f>
        <v>0</v>
      </c>
      <c r="R163" s="64" t="n">
        <f aca="false">O163*IF(Inputs!$G$19="",G163+Inputs!$C$13,MAX(Inputs!$G$19,G163+Inputs!$C$13))*F163</f>
        <v>0</v>
      </c>
      <c r="S163" s="64" t="n">
        <f aca="false">P163*(G163+Inputs!$C$14)*F163</f>
        <v>0</v>
      </c>
      <c r="T163" s="64" t="n">
        <f aca="false">N163+M163-Q163-R163-S163</f>
        <v>0</v>
      </c>
      <c r="U163" s="64" t="n">
        <f aca="false">W162</f>
        <v>260422.420657149</v>
      </c>
      <c r="V163" s="64" t="n">
        <f aca="false">MIN(U163+I163,MAX(T163,0))</f>
        <v>0</v>
      </c>
      <c r="W163" s="64" t="n">
        <f aca="false">U163+I163-V163</f>
        <v>260422.420657149</v>
      </c>
      <c r="X163" s="64" t="n">
        <f aca="false">K163+L163+V163+IF(E163,H163-I163-K163-L163,0)</f>
        <v>0</v>
      </c>
      <c r="Y163" s="61" t="b">
        <f aca="false">AND(Inputs!$C$21=1,O163/Inputs!$C$10&lt;=Inputs!$C$22,Inputs!$G$14&lt;Inputs!$C$23,W163&lt;1)</f>
        <v>0</v>
      </c>
      <c r="Z163" s="61" t="b">
        <f aca="false">OR(AND(Inputs!$G$15=1,H163/Inputs!$C$17&lt;=Inputs!$C$24),AND(Inputs!$G$15=2,C163&gt;=Inputs!$G$16))</f>
        <v>0</v>
      </c>
      <c r="AA163" s="61" t="b">
        <f aca="false">OR(AA162,Z163)</f>
        <v>0</v>
      </c>
      <c r="AB163" s="61" t="b">
        <f aca="false">AND(Z163,NOT(AA162),D163,O163&gt;0)</f>
        <v>0</v>
      </c>
      <c r="AC163" s="63" t="n">
        <f aca="false">IF(AND(Y163,NOT(E163),O163+P163&gt;0),O163/(O163+P163),1)</f>
        <v>1</v>
      </c>
      <c r="AD163" s="64" t="n">
        <f aca="false">IF(AB163,O163,IF(D163,MIN(O163,IF(E163,AC163*X163+BF162,BE163*Inputs!$G$20)),0))</f>
        <v>0</v>
      </c>
      <c r="AE163" s="64" t="n">
        <f aca="false">IF(AB163,P163,IF(D163,MAX(MIN(P163,X163-MIN(O163,AC163*X163)),0),0))</f>
        <v>0</v>
      </c>
      <c r="AF163" s="64" t="n">
        <f aca="false">IF(OR(AB163,E163),0,MAX(H163-I163-K163-L163,0))</f>
        <v>0</v>
      </c>
      <c r="AG163" s="64" t="n">
        <f aca="false">IF(E163,0,O163-AD163)</f>
        <v>0</v>
      </c>
      <c r="AH163" s="64" t="n">
        <f aca="false">IF(OR(AB163,E163),0,P163-AE163)</f>
        <v>0</v>
      </c>
      <c r="AI163" s="64" t="n">
        <f aca="false">IF(D163,R163+AD163,0)</f>
        <v>0</v>
      </c>
      <c r="AJ163" s="65" t="n">
        <f aca="false">(C163-Inputs!$G$6)/365</f>
        <v>38.1753424657534</v>
      </c>
      <c r="AK163" s="29" t="n">
        <f aca="false">AG163/Inputs!$C$10</f>
        <v>0</v>
      </c>
      <c r="AL163" s="5"/>
      <c r="AM163" s="66" t="n">
        <f aca="false">F163</f>
        <v>0.261111111111111</v>
      </c>
      <c r="AN163" s="5"/>
      <c r="AO163" s="5" t="n">
        <f aca="false">AO162+LN(1+($G163+AO$7)*$AM163)</f>
        <v>0.969202897685159</v>
      </c>
      <c r="AP163" s="5" t="n">
        <f aca="false">AP162+LN(1+($G163+AP$7)*$AM163)</f>
        <v>0.973048929105104</v>
      </c>
      <c r="AQ163" s="5" t="n">
        <f aca="false">AQ162+LN(1+($G163+AQ$7)*$AM163)</f>
        <v>1.0965882064482</v>
      </c>
      <c r="AR163" s="5" t="n">
        <f aca="false">AR162+LN(1+($G163+AR$7)*$AM163)</f>
        <v>1.10043103257973</v>
      </c>
      <c r="AS163" s="5" t="n">
        <f aca="false">AS162+LN(1+($G163+AS$7)*$AM163)</f>
        <v>1.09798507518773</v>
      </c>
      <c r="AT163" s="5" t="n">
        <f aca="false">AT162+LN(1+($G163+AT$7)*$AM163)</f>
        <v>1.10182786618588</v>
      </c>
      <c r="AU163" s="5" t="n">
        <f aca="false">AU162+LN(1+($G163+AU$7)*$AM163)</f>
        <v>1.09798477694297</v>
      </c>
      <c r="AV163" s="5" t="n">
        <f aca="false">AV162+LN(1+($G163+AV$7)*$AM163)</f>
        <v>1.10182756794862</v>
      </c>
      <c r="AW163" s="5" t="n">
        <f aca="false">AW162+LN(1+($G163+AW$7)*$AM163)</f>
        <v>1.09798477704299</v>
      </c>
      <c r="AX163" s="5" t="n">
        <f aca="false">AX162+LN(1+($G163+AX$7)*$AM163)</f>
        <v>1.10182756804865</v>
      </c>
      <c r="AY163" s="5" t="n">
        <f aca="false">AY162+LN(1+($G163+AY$7)*$AM163)</f>
        <v>1.09798477704297</v>
      </c>
      <c r="AZ163" s="5" t="n">
        <f aca="false">AZ162+LN(1+($G163+AZ$7)*$AM163)</f>
        <v>1.10182756804861</v>
      </c>
      <c r="BA163" s="5" t="n">
        <f aca="false">BA162+LN(1+($G163+BA$7)*$AM163)</f>
        <v>1.09798477704297</v>
      </c>
      <c r="BB163" s="5" t="n">
        <f aca="false">BB162+LN(1+($G163+BB$7)*$AM163)</f>
        <v>1.10182756804861</v>
      </c>
      <c r="BC163" s="5" t="n">
        <f aca="false">BC162+LN(1+($G163+BC$7)*$AM163)</f>
        <v>1.09798477704297</v>
      </c>
      <c r="BD163" s="5" t="n">
        <f aca="false">BD162+LN(1+($G163+BD$7)*$AM163)</f>
        <v>1.10182756804861</v>
      </c>
      <c r="BE163" s="5" t="n">
        <f aca="false">IF(AB163,O163,IF(D163,MIN(O163,AC163*X163+BF162),0))</f>
        <v>0</v>
      </c>
      <c r="BF163" s="5" t="n">
        <f aca="false">IF(OR(AB163,E163),0,BE163-AD163)</f>
        <v>0</v>
      </c>
      <c r="BG163" s="5" t="n">
        <f aca="false">BG162+LN(1+($G163+BG$7)*$AM163)</f>
        <v>1.05955155014326</v>
      </c>
      <c r="BH163" s="5"/>
      <c r="BI163" s="5" t="n">
        <f aca="false">BI162+LN(1+($G163+BI$7)*$AM163)</f>
        <v>1.13640833841492</v>
      </c>
      <c r="BJ163" s="5"/>
      <c r="BK163" s="62" t="n">
        <f aca="false">C163</f>
        <v>60223</v>
      </c>
      <c r="BL163" s="67" t="n">
        <f aca="false">AI163</f>
        <v>0</v>
      </c>
    </row>
    <row r="164" customFormat="false" ht="15" hidden="false" customHeight="true" outlineLevel="0" collapsed="false">
      <c r="A164" s="3" t="n">
        <v>154</v>
      </c>
      <c r="B164" s="38" t="n">
        <f aca="false">EDATE(Inputs!$C$8,3*(A164-1))</f>
        <v>60313</v>
      </c>
      <c r="C164" s="38" t="n">
        <f aca="false">WORKDAY(B164-1,1)</f>
        <v>60314</v>
      </c>
      <c r="D164" s="61" t="b">
        <f aca="false">C164&lt;=Inputs!$C$9</f>
        <v>0</v>
      </c>
      <c r="E164" s="61" t="b">
        <f aca="false">AND(D164,NOT(D165))</f>
        <v>0</v>
      </c>
      <c r="F164" s="63" t="n">
        <f aca="false">(C164-C163)/360</f>
        <v>0.252777777777778</v>
      </c>
      <c r="G164" s="57" t="n">
        <f aca="false">Curve!D157</f>
        <v>0.02252</v>
      </c>
      <c r="H164" s="64" t="n">
        <f aca="false">AF163</f>
        <v>0</v>
      </c>
      <c r="I164" s="64" t="n">
        <f aca="false">IF(D164,H164*Inputs!$G$22,0)</f>
        <v>0</v>
      </c>
      <c r="J164" s="32" t="n">
        <f aca="false">MAX(Inputs!$G$24-(A164-1),1)</f>
        <v>1</v>
      </c>
      <c r="K164" s="64" t="n">
        <f aca="false">IF(D164,MIN(H164-I164,IF(J164&gt;1,(H164-I164)*Inputs!$G$23/((1+Inputs!$G$23)^J164-1),H164-I164)),0)</f>
        <v>0</v>
      </c>
      <c r="L164" s="64" t="n">
        <f aca="false">IF(D164,(H164-I164-K164)*Inputs!$G$21,0)</f>
        <v>0</v>
      </c>
      <c r="M164" s="64" t="n">
        <f aca="false">IF(A164&gt;Inputs!$G$13,(1-Inputs!$G$12)*INDEX($I$11:$I$190,A164-Inputs!$G$13),0)</f>
        <v>0</v>
      </c>
      <c r="N164" s="64" t="n">
        <f aca="false">IF(D164,(H164-I164)*Inputs!$G$23,0)</f>
        <v>0</v>
      </c>
      <c r="O164" s="64" t="n">
        <f aca="false">AG163</f>
        <v>0</v>
      </c>
      <c r="P164" s="64" t="n">
        <f aca="false">AH163</f>
        <v>0</v>
      </c>
      <c r="Q164" s="64" t="n">
        <f aca="false">IF(AND(D164,O164+P164&gt;0),Inputs!$C$25+Inputs!$C$26*H164/4,0)</f>
        <v>0</v>
      </c>
      <c r="R164" s="64" t="n">
        <f aca="false">O164*IF(Inputs!$G$19="",G164+Inputs!$C$13,MAX(Inputs!$G$19,G164+Inputs!$C$13))*F164</f>
        <v>0</v>
      </c>
      <c r="S164" s="64" t="n">
        <f aca="false">P164*(G164+Inputs!$C$14)*F164</f>
        <v>0</v>
      </c>
      <c r="T164" s="64" t="n">
        <f aca="false">N164+M164-Q164-R164-S164</f>
        <v>0</v>
      </c>
      <c r="U164" s="64" t="n">
        <f aca="false">W163</f>
        <v>260422.420657149</v>
      </c>
      <c r="V164" s="64" t="n">
        <f aca="false">MIN(U164+I164,MAX(T164,0))</f>
        <v>0</v>
      </c>
      <c r="W164" s="64" t="n">
        <f aca="false">U164+I164-V164</f>
        <v>260422.420657149</v>
      </c>
      <c r="X164" s="64" t="n">
        <f aca="false">K164+L164+V164+IF(E164,H164-I164-K164-L164,0)</f>
        <v>0</v>
      </c>
      <c r="Y164" s="61" t="b">
        <f aca="false">AND(Inputs!$C$21=1,O164/Inputs!$C$10&lt;=Inputs!$C$22,Inputs!$G$14&lt;Inputs!$C$23,W164&lt;1)</f>
        <v>0</v>
      </c>
      <c r="Z164" s="61" t="b">
        <f aca="false">OR(AND(Inputs!$G$15=1,H164/Inputs!$C$17&lt;=Inputs!$C$24),AND(Inputs!$G$15=2,C164&gt;=Inputs!$G$16))</f>
        <v>0</v>
      </c>
      <c r="AA164" s="61" t="b">
        <f aca="false">OR(AA163,Z164)</f>
        <v>0</v>
      </c>
      <c r="AB164" s="61" t="b">
        <f aca="false">AND(Z164,NOT(AA163),D164,O164&gt;0)</f>
        <v>0</v>
      </c>
      <c r="AC164" s="63" t="n">
        <f aca="false">IF(AND(Y164,NOT(E164),O164+P164&gt;0),O164/(O164+P164),1)</f>
        <v>1</v>
      </c>
      <c r="AD164" s="64" t="n">
        <f aca="false">IF(AB164,O164,IF(D164,MIN(O164,IF(E164,AC164*X164+BF163,BE164*Inputs!$G$20)),0))</f>
        <v>0</v>
      </c>
      <c r="AE164" s="64" t="n">
        <f aca="false">IF(AB164,P164,IF(D164,MAX(MIN(P164,X164-MIN(O164,AC164*X164)),0),0))</f>
        <v>0</v>
      </c>
      <c r="AF164" s="64" t="n">
        <f aca="false">IF(OR(AB164,E164),0,MAX(H164-I164-K164-L164,0))</f>
        <v>0</v>
      </c>
      <c r="AG164" s="64" t="n">
        <f aca="false">IF(E164,0,O164-AD164)</f>
        <v>0</v>
      </c>
      <c r="AH164" s="64" t="n">
        <f aca="false">IF(OR(AB164,E164),0,P164-AE164)</f>
        <v>0</v>
      </c>
      <c r="AI164" s="64" t="n">
        <f aca="false">IF(D164,R164+AD164,0)</f>
        <v>0</v>
      </c>
      <c r="AJ164" s="65" t="n">
        <f aca="false">(C164-Inputs!$G$6)/365</f>
        <v>38.4246575342466</v>
      </c>
      <c r="AK164" s="29" t="n">
        <f aca="false">AG164/Inputs!$C$10</f>
        <v>0</v>
      </c>
      <c r="AL164" s="5"/>
      <c r="AM164" s="66" t="n">
        <f aca="false">F164</f>
        <v>0.252777777777778</v>
      </c>
      <c r="AN164" s="5"/>
      <c r="AO164" s="5" t="n">
        <f aca="false">AO163+LN(1+($G164+AO$7)*$AM164)</f>
        <v>0.975532600559989</v>
      </c>
      <c r="AP164" s="5" t="n">
        <f aca="false">AP163+LN(1+($G164+AP$7)*$AM164)</f>
        <v>0.979403749946743</v>
      </c>
      <c r="AQ164" s="5" t="n">
        <f aca="false">AQ163+LN(1+($G164+AQ$7)*$AM164)</f>
        <v>1.10374984812788</v>
      </c>
      <c r="AR164" s="5" t="n">
        <f aca="false">AR163+LN(1+($G164+AR$7)*$AM164)</f>
        <v>1.10761777133856</v>
      </c>
      <c r="AS164" s="5" t="n">
        <f aca="false">AS163+LN(1+($G164+AS$7)*$AM164)</f>
        <v>1.10515583966494</v>
      </c>
      <c r="AT164" s="5" t="n">
        <f aca="false">AT163+LN(1+($G164+AT$7)*$AM164)</f>
        <v>1.10902372751328</v>
      </c>
      <c r="AU164" s="5" t="n">
        <f aca="false">AU163+LN(1+($G164+AU$7)*$AM164)</f>
        <v>1.10515553947237</v>
      </c>
      <c r="AV164" s="5" t="n">
        <f aca="false">AV163+LN(1+($G164+AV$7)*$AM164)</f>
        <v>1.10902342732826</v>
      </c>
      <c r="AW164" s="5" t="n">
        <f aca="false">AW163+LN(1+($G164+AW$7)*$AM164)</f>
        <v>1.10515553957305</v>
      </c>
      <c r="AX164" s="5" t="n">
        <f aca="false">AX163+LN(1+($G164+AX$7)*$AM164)</f>
        <v>1.10902342742894</v>
      </c>
      <c r="AY164" s="5" t="n">
        <f aca="false">AY163+LN(1+($G164+AY$7)*$AM164)</f>
        <v>1.10515553957303</v>
      </c>
      <c r="AZ164" s="5" t="n">
        <f aca="false">AZ163+LN(1+($G164+AZ$7)*$AM164)</f>
        <v>1.10902342742891</v>
      </c>
      <c r="BA164" s="5" t="n">
        <f aca="false">BA163+LN(1+($G164+BA$7)*$AM164)</f>
        <v>1.10515553957303</v>
      </c>
      <c r="BB164" s="5" t="n">
        <f aca="false">BB163+LN(1+($G164+BB$7)*$AM164)</f>
        <v>1.10902342742891</v>
      </c>
      <c r="BC164" s="5" t="n">
        <f aca="false">BC163+LN(1+($G164+BC$7)*$AM164)</f>
        <v>1.10515553957303</v>
      </c>
      <c r="BD164" s="5" t="n">
        <f aca="false">BD163+LN(1+($G164+BD$7)*$AM164)</f>
        <v>1.10902342742891</v>
      </c>
      <c r="BE164" s="5" t="n">
        <f aca="false">IF(AB164,O164,IF(D164,MIN(O164,AC164*X164+BF163),0))</f>
        <v>0</v>
      </c>
      <c r="BF164" s="5" t="n">
        <f aca="false">IF(OR(AB164,E164),0,BE164-AD164)</f>
        <v>0</v>
      </c>
      <c r="BG164" s="5" t="n">
        <f aca="false">BG163+LN(1+($G164+BG$7)*$AM164)</f>
        <v>1.06647130952291</v>
      </c>
      <c r="BH164" s="5"/>
      <c r="BI164" s="5" t="n">
        <f aca="false">BI163+LN(1+($G164+BI$7)*$AM164)</f>
        <v>1.1438300411086</v>
      </c>
      <c r="BJ164" s="5"/>
      <c r="BK164" s="62" t="n">
        <f aca="false">C164</f>
        <v>60314</v>
      </c>
      <c r="BL164" s="67" t="n">
        <f aca="false">AI164</f>
        <v>0</v>
      </c>
    </row>
    <row r="165" customFormat="false" ht="15" hidden="false" customHeight="true" outlineLevel="0" collapsed="false">
      <c r="A165" s="3" t="n">
        <v>155</v>
      </c>
      <c r="B165" s="38" t="n">
        <f aca="false">EDATE(Inputs!$C$8,3*(A165-1))</f>
        <v>60402</v>
      </c>
      <c r="C165" s="38" t="n">
        <f aca="false">WORKDAY(B165-1,1)</f>
        <v>60402</v>
      </c>
      <c r="D165" s="61" t="b">
        <f aca="false">C165&lt;=Inputs!$C$9</f>
        <v>0</v>
      </c>
      <c r="E165" s="61" t="b">
        <f aca="false">AND(D165,NOT(D166))</f>
        <v>0</v>
      </c>
      <c r="F165" s="63" t="n">
        <f aca="false">(C165-C164)/360</f>
        <v>0.244444444444444</v>
      </c>
      <c r="G165" s="57" t="n">
        <f aca="false">Curve!D158</f>
        <v>0.02252</v>
      </c>
      <c r="H165" s="64" t="n">
        <f aca="false">AF164</f>
        <v>0</v>
      </c>
      <c r="I165" s="64" t="n">
        <f aca="false">IF(D165,H165*Inputs!$G$22,0)</f>
        <v>0</v>
      </c>
      <c r="J165" s="32" t="n">
        <f aca="false">MAX(Inputs!$G$24-(A165-1),1)</f>
        <v>1</v>
      </c>
      <c r="K165" s="64" t="n">
        <f aca="false">IF(D165,MIN(H165-I165,IF(J165&gt;1,(H165-I165)*Inputs!$G$23/((1+Inputs!$G$23)^J165-1),H165-I165)),0)</f>
        <v>0</v>
      </c>
      <c r="L165" s="64" t="n">
        <f aca="false">IF(D165,(H165-I165-K165)*Inputs!$G$21,0)</f>
        <v>0</v>
      </c>
      <c r="M165" s="64" t="n">
        <f aca="false">IF(A165&gt;Inputs!$G$13,(1-Inputs!$G$12)*INDEX($I$11:$I$190,A165-Inputs!$G$13),0)</f>
        <v>0</v>
      </c>
      <c r="N165" s="64" t="n">
        <f aca="false">IF(D165,(H165-I165)*Inputs!$G$23,0)</f>
        <v>0</v>
      </c>
      <c r="O165" s="64" t="n">
        <f aca="false">AG164</f>
        <v>0</v>
      </c>
      <c r="P165" s="64" t="n">
        <f aca="false">AH164</f>
        <v>0</v>
      </c>
      <c r="Q165" s="64" t="n">
        <f aca="false">IF(AND(D165,O165+P165&gt;0),Inputs!$C$25+Inputs!$C$26*H165/4,0)</f>
        <v>0</v>
      </c>
      <c r="R165" s="64" t="n">
        <f aca="false">O165*IF(Inputs!$G$19="",G165+Inputs!$C$13,MAX(Inputs!$G$19,G165+Inputs!$C$13))*F165</f>
        <v>0</v>
      </c>
      <c r="S165" s="64" t="n">
        <f aca="false">P165*(G165+Inputs!$C$14)*F165</f>
        <v>0</v>
      </c>
      <c r="T165" s="64" t="n">
        <f aca="false">N165+M165-Q165-R165-S165</f>
        <v>0</v>
      </c>
      <c r="U165" s="64" t="n">
        <f aca="false">W164</f>
        <v>260422.420657149</v>
      </c>
      <c r="V165" s="64" t="n">
        <f aca="false">MIN(U165+I165,MAX(T165,0))</f>
        <v>0</v>
      </c>
      <c r="W165" s="64" t="n">
        <f aca="false">U165+I165-V165</f>
        <v>260422.420657149</v>
      </c>
      <c r="X165" s="64" t="n">
        <f aca="false">K165+L165+V165+IF(E165,H165-I165-K165-L165,0)</f>
        <v>0</v>
      </c>
      <c r="Y165" s="61" t="b">
        <f aca="false">AND(Inputs!$C$21=1,O165/Inputs!$C$10&lt;=Inputs!$C$22,Inputs!$G$14&lt;Inputs!$C$23,W165&lt;1)</f>
        <v>0</v>
      </c>
      <c r="Z165" s="61" t="b">
        <f aca="false">OR(AND(Inputs!$G$15=1,H165/Inputs!$C$17&lt;=Inputs!$C$24),AND(Inputs!$G$15=2,C165&gt;=Inputs!$G$16))</f>
        <v>0</v>
      </c>
      <c r="AA165" s="61" t="b">
        <f aca="false">OR(AA164,Z165)</f>
        <v>0</v>
      </c>
      <c r="AB165" s="61" t="b">
        <f aca="false">AND(Z165,NOT(AA164),D165,O165&gt;0)</f>
        <v>0</v>
      </c>
      <c r="AC165" s="63" t="n">
        <f aca="false">IF(AND(Y165,NOT(E165),O165+P165&gt;0),O165/(O165+P165),1)</f>
        <v>1</v>
      </c>
      <c r="AD165" s="64" t="n">
        <f aca="false">IF(AB165,O165,IF(D165,MIN(O165,IF(E165,AC165*X165+BF164,BE165*Inputs!$G$20)),0))</f>
        <v>0</v>
      </c>
      <c r="AE165" s="64" t="n">
        <f aca="false">IF(AB165,P165,IF(D165,MAX(MIN(P165,X165-MIN(O165,AC165*X165)),0),0))</f>
        <v>0</v>
      </c>
      <c r="AF165" s="64" t="n">
        <f aca="false">IF(OR(AB165,E165),0,MAX(H165-I165-K165-L165,0))</f>
        <v>0</v>
      </c>
      <c r="AG165" s="64" t="n">
        <f aca="false">IF(E165,0,O165-AD165)</f>
        <v>0</v>
      </c>
      <c r="AH165" s="64" t="n">
        <f aca="false">IF(OR(AB165,E165),0,P165-AE165)</f>
        <v>0</v>
      </c>
      <c r="AI165" s="64" t="n">
        <f aca="false">IF(D165,R165+AD165,0)</f>
        <v>0</v>
      </c>
      <c r="AJ165" s="65" t="n">
        <f aca="false">(C165-Inputs!$G$6)/365</f>
        <v>38.6657534246575</v>
      </c>
      <c r="AK165" s="29" t="n">
        <f aca="false">AG165/Inputs!$C$10</f>
        <v>0</v>
      </c>
      <c r="AL165" s="5"/>
      <c r="AM165" s="66" t="n">
        <f aca="false">F165</f>
        <v>0.244444444444444</v>
      </c>
      <c r="AN165" s="5"/>
      <c r="AO165" s="5" t="n">
        <f aca="false">AO164+LN(1+($G165+AO$7)*$AM165)</f>
        <v>0.981654269297036</v>
      </c>
      <c r="AP165" s="5" t="n">
        <f aca="false">AP164+LN(1+($G165+AP$7)*$AM165)</f>
        <v>0.985549713649411</v>
      </c>
      <c r="AQ165" s="5" t="n">
        <f aca="false">AQ164+LN(1+($G165+AQ$7)*$AM165)</f>
        <v>1.1106762074638</v>
      </c>
      <c r="AR165" s="5" t="n">
        <f aca="false">AR164+LN(1+($G165+AR$7)*$AM165)</f>
        <v>1.11456840609828</v>
      </c>
      <c r="AS165" s="5" t="n">
        <f aca="false">AS164+LN(1+($G165+AS$7)*$AM165)</f>
        <v>1.11209102312405</v>
      </c>
      <c r="AT165" s="5" t="n">
        <f aca="false">AT164+LN(1+($G165+AT$7)*$AM165)</f>
        <v>1.11598318618198</v>
      </c>
      <c r="AU165" s="5" t="n">
        <f aca="false">AU164+LN(1+($G165+AU$7)*$AM165)</f>
        <v>1.11209072104745</v>
      </c>
      <c r="AV165" s="5" t="n">
        <f aca="false">AV164+LN(1+($G165+AV$7)*$AM165)</f>
        <v>1.11598288411297</v>
      </c>
      <c r="AW165" s="5" t="n">
        <f aca="false">AW164+LN(1+($G165+AW$7)*$AM165)</f>
        <v>1.11209072114875</v>
      </c>
      <c r="AX165" s="5" t="n">
        <f aca="false">AX164+LN(1+($G165+AX$7)*$AM165)</f>
        <v>1.11598288421428</v>
      </c>
      <c r="AY165" s="5" t="n">
        <f aca="false">AY164+LN(1+($G165+AY$7)*$AM165)</f>
        <v>1.11209072114874</v>
      </c>
      <c r="AZ165" s="5" t="n">
        <f aca="false">AZ164+LN(1+($G165+AZ$7)*$AM165)</f>
        <v>1.11598288421425</v>
      </c>
      <c r="BA165" s="5" t="n">
        <f aca="false">BA164+LN(1+($G165+BA$7)*$AM165)</f>
        <v>1.11209072114874</v>
      </c>
      <c r="BB165" s="5" t="n">
        <f aca="false">BB164+LN(1+($G165+BB$7)*$AM165)</f>
        <v>1.11598288421425</v>
      </c>
      <c r="BC165" s="5" t="n">
        <f aca="false">BC164+LN(1+($G165+BC$7)*$AM165)</f>
        <v>1.11209072114874</v>
      </c>
      <c r="BD165" s="5" t="n">
        <f aca="false">BD164+LN(1+($G165+BD$7)*$AM165)</f>
        <v>1.11598288421425</v>
      </c>
      <c r="BE165" s="5" t="n">
        <f aca="false">IF(AB165,O165,IF(D165,MIN(O165,AC165*X165+BF164),0))</f>
        <v>0</v>
      </c>
      <c r="BF165" s="5" t="n">
        <f aca="false">IF(OR(AB165,E165),0,BE165-AD165)</f>
        <v>0</v>
      </c>
      <c r="BG165" s="5" t="n">
        <f aca="false">BG164+LN(1+($G165+BG$7)*$AM165)</f>
        <v>1.07316370658608</v>
      </c>
      <c r="BH165" s="5"/>
      <c r="BI165" s="5" t="n">
        <f aca="false">BI164+LN(1+($G165+BI$7)*$AM165)</f>
        <v>1.15100794826684</v>
      </c>
      <c r="BJ165" s="5"/>
      <c r="BK165" s="62" t="n">
        <f aca="false">C165</f>
        <v>60402</v>
      </c>
      <c r="BL165" s="67" t="n">
        <f aca="false">AI165</f>
        <v>0</v>
      </c>
    </row>
    <row r="166" customFormat="false" ht="15" hidden="false" customHeight="true" outlineLevel="0" collapsed="false">
      <c r="A166" s="3" t="n">
        <v>156</v>
      </c>
      <c r="B166" s="38" t="n">
        <f aca="false">EDATE(Inputs!$C$8,3*(A166-1))</f>
        <v>60494</v>
      </c>
      <c r="C166" s="38" t="n">
        <f aca="false">WORKDAY(B166-1,1)</f>
        <v>60496</v>
      </c>
      <c r="D166" s="61" t="b">
        <f aca="false">C166&lt;=Inputs!$C$9</f>
        <v>0</v>
      </c>
      <c r="E166" s="61" t="b">
        <f aca="false">AND(D166,NOT(D167))</f>
        <v>0</v>
      </c>
      <c r="F166" s="63" t="n">
        <f aca="false">(C166-C165)/360</f>
        <v>0.261111111111111</v>
      </c>
      <c r="G166" s="57" t="n">
        <f aca="false">Curve!D159</f>
        <v>0.02252</v>
      </c>
      <c r="H166" s="64" t="n">
        <f aca="false">AF165</f>
        <v>0</v>
      </c>
      <c r="I166" s="64" t="n">
        <f aca="false">IF(D166,H166*Inputs!$G$22,0)</f>
        <v>0</v>
      </c>
      <c r="J166" s="32" t="n">
        <f aca="false">MAX(Inputs!$G$24-(A166-1),1)</f>
        <v>1</v>
      </c>
      <c r="K166" s="64" t="n">
        <f aca="false">IF(D166,MIN(H166-I166,IF(J166&gt;1,(H166-I166)*Inputs!$G$23/((1+Inputs!$G$23)^J166-1),H166-I166)),0)</f>
        <v>0</v>
      </c>
      <c r="L166" s="64" t="n">
        <f aca="false">IF(D166,(H166-I166-K166)*Inputs!$G$21,0)</f>
        <v>0</v>
      </c>
      <c r="M166" s="64" t="n">
        <f aca="false">IF(A166&gt;Inputs!$G$13,(1-Inputs!$G$12)*INDEX($I$11:$I$190,A166-Inputs!$G$13),0)</f>
        <v>0</v>
      </c>
      <c r="N166" s="64" t="n">
        <f aca="false">IF(D166,(H166-I166)*Inputs!$G$23,0)</f>
        <v>0</v>
      </c>
      <c r="O166" s="64" t="n">
        <f aca="false">AG165</f>
        <v>0</v>
      </c>
      <c r="P166" s="64" t="n">
        <f aca="false">AH165</f>
        <v>0</v>
      </c>
      <c r="Q166" s="64" t="n">
        <f aca="false">IF(AND(D166,O166+P166&gt;0),Inputs!$C$25+Inputs!$C$26*H166/4,0)</f>
        <v>0</v>
      </c>
      <c r="R166" s="64" t="n">
        <f aca="false">O166*IF(Inputs!$G$19="",G166+Inputs!$C$13,MAX(Inputs!$G$19,G166+Inputs!$C$13))*F166</f>
        <v>0</v>
      </c>
      <c r="S166" s="64" t="n">
        <f aca="false">P166*(G166+Inputs!$C$14)*F166</f>
        <v>0</v>
      </c>
      <c r="T166" s="64" t="n">
        <f aca="false">N166+M166-Q166-R166-S166</f>
        <v>0</v>
      </c>
      <c r="U166" s="64" t="n">
        <f aca="false">W165</f>
        <v>260422.420657149</v>
      </c>
      <c r="V166" s="64" t="n">
        <f aca="false">MIN(U166+I166,MAX(T166,0))</f>
        <v>0</v>
      </c>
      <c r="W166" s="64" t="n">
        <f aca="false">U166+I166-V166</f>
        <v>260422.420657149</v>
      </c>
      <c r="X166" s="64" t="n">
        <f aca="false">K166+L166+V166+IF(E166,H166-I166-K166-L166,0)</f>
        <v>0</v>
      </c>
      <c r="Y166" s="61" t="b">
        <f aca="false">AND(Inputs!$C$21=1,O166/Inputs!$C$10&lt;=Inputs!$C$22,Inputs!$G$14&lt;Inputs!$C$23,W166&lt;1)</f>
        <v>0</v>
      </c>
      <c r="Z166" s="61" t="b">
        <f aca="false">OR(AND(Inputs!$G$15=1,H166/Inputs!$C$17&lt;=Inputs!$C$24),AND(Inputs!$G$15=2,C166&gt;=Inputs!$G$16))</f>
        <v>0</v>
      </c>
      <c r="AA166" s="61" t="b">
        <f aca="false">OR(AA165,Z166)</f>
        <v>0</v>
      </c>
      <c r="AB166" s="61" t="b">
        <f aca="false">AND(Z166,NOT(AA165),D166,O166&gt;0)</f>
        <v>0</v>
      </c>
      <c r="AC166" s="63" t="n">
        <f aca="false">IF(AND(Y166,NOT(E166),O166+P166&gt;0),O166/(O166+P166),1)</f>
        <v>1</v>
      </c>
      <c r="AD166" s="64" t="n">
        <f aca="false">IF(AB166,O166,IF(D166,MIN(O166,IF(E166,AC166*X166+BF165,BE166*Inputs!$G$20)),0))</f>
        <v>0</v>
      </c>
      <c r="AE166" s="64" t="n">
        <f aca="false">IF(AB166,P166,IF(D166,MAX(MIN(P166,X166-MIN(O166,AC166*X166)),0),0))</f>
        <v>0</v>
      </c>
      <c r="AF166" s="64" t="n">
        <f aca="false">IF(OR(AB166,E166),0,MAX(H166-I166-K166-L166,0))</f>
        <v>0</v>
      </c>
      <c r="AG166" s="64" t="n">
        <f aca="false">IF(E166,0,O166-AD166)</f>
        <v>0</v>
      </c>
      <c r="AH166" s="64" t="n">
        <f aca="false">IF(OR(AB166,E166),0,P166-AE166)</f>
        <v>0</v>
      </c>
      <c r="AI166" s="64" t="n">
        <f aca="false">IF(D166,R166+AD166,0)</f>
        <v>0</v>
      </c>
      <c r="AJ166" s="65" t="n">
        <f aca="false">(C166-Inputs!$G$6)/365</f>
        <v>38.9232876712329</v>
      </c>
      <c r="AK166" s="29" t="n">
        <f aca="false">AG166/Inputs!$C$10</f>
        <v>0</v>
      </c>
      <c r="AL166" s="5"/>
      <c r="AM166" s="66" t="n">
        <f aca="false">F166</f>
        <v>0.261111111111111</v>
      </c>
      <c r="AN166" s="5"/>
      <c r="AO166" s="5" t="n">
        <f aca="false">AO165+LN(1+($G166+AO$7)*$AM166)</f>
        <v>0.988191963040448</v>
      </c>
      <c r="AP166" s="5" t="n">
        <f aca="false">AP165+LN(1+($G166+AP$7)*$AM166)</f>
        <v>0.992113348017825</v>
      </c>
      <c r="AQ166" s="5" t="n">
        <f aca="false">AQ165+LN(1+($G166+AQ$7)*$AM166)</f>
        <v>1.11807307614249</v>
      </c>
      <c r="AR166" s="5" t="n">
        <f aca="false">AR165+LN(1+($G166+AR$7)*$AM166)</f>
        <v>1.12199119312429</v>
      </c>
      <c r="AS166" s="5" t="n">
        <f aca="false">AS165+LN(1+($G166+AS$7)*$AM166)</f>
        <v>1.119497313134</v>
      </c>
      <c r="AT166" s="5" t="n">
        <f aca="false">AT165+LN(1+($G166+AT$7)*$AM166)</f>
        <v>1.12341539429507</v>
      </c>
      <c r="AU166" s="5" t="n">
        <f aca="false">AU165+LN(1+($G166+AU$7)*$AM166)</f>
        <v>1.11949700904585</v>
      </c>
      <c r="AV166" s="5" t="n">
        <f aca="false">AV165+LN(1+($G166+AV$7)*$AM166)</f>
        <v>1.12341509021457</v>
      </c>
      <c r="AW166" s="5" t="n">
        <f aca="false">AW165+LN(1+($G166+AW$7)*$AM166)</f>
        <v>1.11949700914784</v>
      </c>
      <c r="AX166" s="5" t="n">
        <f aca="false">AX165+LN(1+($G166+AX$7)*$AM166)</f>
        <v>1.12341509031656</v>
      </c>
      <c r="AY166" s="5" t="n">
        <f aca="false">AY165+LN(1+($G166+AY$7)*$AM166)</f>
        <v>1.11949700914782</v>
      </c>
      <c r="AZ166" s="5" t="n">
        <f aca="false">AZ165+LN(1+($G166+AZ$7)*$AM166)</f>
        <v>1.12341509031653</v>
      </c>
      <c r="BA166" s="5" t="n">
        <f aca="false">BA165+LN(1+($G166+BA$7)*$AM166)</f>
        <v>1.11949700914782</v>
      </c>
      <c r="BB166" s="5" t="n">
        <f aca="false">BB165+LN(1+($G166+BB$7)*$AM166)</f>
        <v>1.12341509031653</v>
      </c>
      <c r="BC166" s="5" t="n">
        <f aca="false">BC165+LN(1+($G166+BC$7)*$AM166)</f>
        <v>1.11949700914782</v>
      </c>
      <c r="BD166" s="5" t="n">
        <f aca="false">BD165+LN(1+($G166+BD$7)*$AM166)</f>
        <v>1.12341509031653</v>
      </c>
      <c r="BE166" s="5" t="n">
        <f aca="false">IF(AB166,O166,IF(D166,MIN(O166,AC166*X166+BF165),0))</f>
        <v>0</v>
      </c>
      <c r="BF166" s="5" t="n">
        <f aca="false">IF(OR(AB166,E166),0,BE166-AD166)</f>
        <v>0</v>
      </c>
      <c r="BG166" s="5" t="n">
        <f aca="false">BG165+LN(1+($G166+BG$7)*$AM166)</f>
        <v>1.08031077660033</v>
      </c>
      <c r="BH166" s="5"/>
      <c r="BI166" s="5" t="n">
        <f aca="false">BI165+LN(1+($G166+BI$7)*$AM166)</f>
        <v>1.1586733870742</v>
      </c>
      <c r="BJ166" s="5"/>
      <c r="BK166" s="62" t="n">
        <f aca="false">C166</f>
        <v>60496</v>
      </c>
      <c r="BL166" s="67" t="n">
        <f aca="false">AI166</f>
        <v>0</v>
      </c>
    </row>
    <row r="167" customFormat="false" ht="15" hidden="false" customHeight="true" outlineLevel="0" collapsed="false">
      <c r="A167" s="3" t="n">
        <v>157</v>
      </c>
      <c r="B167" s="38" t="n">
        <f aca="false">EDATE(Inputs!$C$8,3*(A167-1))</f>
        <v>60586</v>
      </c>
      <c r="C167" s="38" t="n">
        <f aca="false">WORKDAY(B167-1,1)</f>
        <v>60587</v>
      </c>
      <c r="D167" s="61" t="b">
        <f aca="false">C167&lt;=Inputs!$C$9</f>
        <v>0</v>
      </c>
      <c r="E167" s="61" t="b">
        <f aca="false">AND(D167,NOT(D168))</f>
        <v>0</v>
      </c>
      <c r="F167" s="63" t="n">
        <f aca="false">(C167-C166)/360</f>
        <v>0.252777777777778</v>
      </c>
      <c r="G167" s="57" t="n">
        <f aca="false">Curve!D160</f>
        <v>0.02252</v>
      </c>
      <c r="H167" s="64" t="n">
        <f aca="false">AF166</f>
        <v>0</v>
      </c>
      <c r="I167" s="64" t="n">
        <f aca="false">IF(D167,H167*Inputs!$G$22,0)</f>
        <v>0</v>
      </c>
      <c r="J167" s="32" t="n">
        <f aca="false">MAX(Inputs!$G$24-(A167-1),1)</f>
        <v>1</v>
      </c>
      <c r="K167" s="64" t="n">
        <f aca="false">IF(D167,MIN(H167-I167,IF(J167&gt;1,(H167-I167)*Inputs!$G$23/((1+Inputs!$G$23)^J167-1),H167-I167)),0)</f>
        <v>0</v>
      </c>
      <c r="L167" s="64" t="n">
        <f aca="false">IF(D167,(H167-I167-K167)*Inputs!$G$21,0)</f>
        <v>0</v>
      </c>
      <c r="M167" s="64" t="n">
        <f aca="false">IF(A167&gt;Inputs!$G$13,(1-Inputs!$G$12)*INDEX($I$11:$I$190,A167-Inputs!$G$13),0)</f>
        <v>0</v>
      </c>
      <c r="N167" s="64" t="n">
        <f aca="false">IF(D167,(H167-I167)*Inputs!$G$23,0)</f>
        <v>0</v>
      </c>
      <c r="O167" s="64" t="n">
        <f aca="false">AG166</f>
        <v>0</v>
      </c>
      <c r="P167" s="64" t="n">
        <f aca="false">AH166</f>
        <v>0</v>
      </c>
      <c r="Q167" s="64" t="n">
        <f aca="false">IF(AND(D167,O167+P167&gt;0),Inputs!$C$25+Inputs!$C$26*H167/4,0)</f>
        <v>0</v>
      </c>
      <c r="R167" s="64" t="n">
        <f aca="false">O167*IF(Inputs!$G$19="",G167+Inputs!$C$13,MAX(Inputs!$G$19,G167+Inputs!$C$13))*F167</f>
        <v>0</v>
      </c>
      <c r="S167" s="64" t="n">
        <f aca="false">P167*(G167+Inputs!$C$14)*F167</f>
        <v>0</v>
      </c>
      <c r="T167" s="64" t="n">
        <f aca="false">N167+M167-Q167-R167-S167</f>
        <v>0</v>
      </c>
      <c r="U167" s="64" t="n">
        <f aca="false">W166</f>
        <v>260422.420657149</v>
      </c>
      <c r="V167" s="64" t="n">
        <f aca="false">MIN(U167+I167,MAX(T167,0))</f>
        <v>0</v>
      </c>
      <c r="W167" s="64" t="n">
        <f aca="false">U167+I167-V167</f>
        <v>260422.420657149</v>
      </c>
      <c r="X167" s="64" t="n">
        <f aca="false">K167+L167+V167+IF(E167,H167-I167-K167-L167,0)</f>
        <v>0</v>
      </c>
      <c r="Y167" s="61" t="b">
        <f aca="false">AND(Inputs!$C$21=1,O167/Inputs!$C$10&lt;=Inputs!$C$22,Inputs!$G$14&lt;Inputs!$C$23,W167&lt;1)</f>
        <v>0</v>
      </c>
      <c r="Z167" s="61" t="b">
        <f aca="false">OR(AND(Inputs!$G$15=1,H167/Inputs!$C$17&lt;=Inputs!$C$24),AND(Inputs!$G$15=2,C167&gt;=Inputs!$G$16))</f>
        <v>0</v>
      </c>
      <c r="AA167" s="61" t="b">
        <f aca="false">OR(AA166,Z167)</f>
        <v>0</v>
      </c>
      <c r="AB167" s="61" t="b">
        <f aca="false">AND(Z167,NOT(AA166),D167,O167&gt;0)</f>
        <v>0</v>
      </c>
      <c r="AC167" s="63" t="n">
        <f aca="false">IF(AND(Y167,NOT(E167),O167+P167&gt;0),O167/(O167+P167),1)</f>
        <v>1</v>
      </c>
      <c r="AD167" s="64" t="n">
        <f aca="false">IF(AB167,O167,IF(D167,MIN(O167,IF(E167,AC167*X167+BF166,BE167*Inputs!$G$20)),0))</f>
        <v>0</v>
      </c>
      <c r="AE167" s="64" t="n">
        <f aca="false">IF(AB167,P167,IF(D167,MAX(MIN(P167,X167-MIN(O167,AC167*X167)),0),0))</f>
        <v>0</v>
      </c>
      <c r="AF167" s="64" t="n">
        <f aca="false">IF(OR(AB167,E167),0,MAX(H167-I167-K167-L167,0))</f>
        <v>0</v>
      </c>
      <c r="AG167" s="64" t="n">
        <f aca="false">IF(E167,0,O167-AD167)</f>
        <v>0</v>
      </c>
      <c r="AH167" s="64" t="n">
        <f aca="false">IF(OR(AB167,E167),0,P167-AE167)</f>
        <v>0</v>
      </c>
      <c r="AI167" s="64" t="n">
        <f aca="false">IF(D167,R167+AD167,0)</f>
        <v>0</v>
      </c>
      <c r="AJ167" s="65" t="n">
        <f aca="false">(C167-Inputs!$G$6)/365</f>
        <v>39.172602739726</v>
      </c>
      <c r="AK167" s="29" t="n">
        <f aca="false">AG167/Inputs!$C$10</f>
        <v>0</v>
      </c>
      <c r="AL167" s="5"/>
      <c r="AM167" s="66" t="n">
        <f aca="false">F167</f>
        <v>0.252777777777778</v>
      </c>
      <c r="AN167" s="5"/>
      <c r="AO167" s="5" t="n">
        <f aca="false">AO166+LN(1+($G167+AO$7)*$AM167)</f>
        <v>0.994521665915278</v>
      </c>
      <c r="AP167" s="5" t="n">
        <f aca="false">AP166+LN(1+($G167+AP$7)*$AM167)</f>
        <v>0.998468168859463</v>
      </c>
      <c r="AQ167" s="5" t="n">
        <f aca="false">AQ166+LN(1+($G167+AQ$7)*$AM167)</f>
        <v>1.12523471782217</v>
      </c>
      <c r="AR167" s="5" t="n">
        <f aca="false">AR166+LN(1+($G167+AR$7)*$AM167)</f>
        <v>1.12917793188312</v>
      </c>
      <c r="AS167" s="5" t="n">
        <f aca="false">AS166+LN(1+($G167+AS$7)*$AM167)</f>
        <v>1.1266680776112</v>
      </c>
      <c r="AT167" s="5" t="n">
        <f aca="false">AT166+LN(1+($G167+AT$7)*$AM167)</f>
        <v>1.13061125562247</v>
      </c>
      <c r="AU167" s="5" t="n">
        <f aca="false">AU166+LN(1+($G167+AU$7)*$AM167)</f>
        <v>1.12666777157525</v>
      </c>
      <c r="AV167" s="5" t="n">
        <f aca="false">AV166+LN(1+($G167+AV$7)*$AM167)</f>
        <v>1.13061094959422</v>
      </c>
      <c r="AW167" s="5" t="n">
        <f aca="false">AW166+LN(1+($G167+AW$7)*$AM167)</f>
        <v>1.12666777167789</v>
      </c>
      <c r="AX167" s="5" t="n">
        <f aca="false">AX166+LN(1+($G167+AX$7)*$AM167)</f>
        <v>1.13061094969686</v>
      </c>
      <c r="AY167" s="5" t="n">
        <f aca="false">AY166+LN(1+($G167+AY$7)*$AM167)</f>
        <v>1.12666777167787</v>
      </c>
      <c r="AZ167" s="5" t="n">
        <f aca="false">AZ166+LN(1+($G167+AZ$7)*$AM167)</f>
        <v>1.13061094969683</v>
      </c>
      <c r="BA167" s="5" t="n">
        <f aca="false">BA166+LN(1+($G167+BA$7)*$AM167)</f>
        <v>1.12666777167787</v>
      </c>
      <c r="BB167" s="5" t="n">
        <f aca="false">BB166+LN(1+($G167+BB$7)*$AM167)</f>
        <v>1.13061094969683</v>
      </c>
      <c r="BC167" s="5" t="n">
        <f aca="false">BC166+LN(1+($G167+BC$7)*$AM167)</f>
        <v>1.12666777167787</v>
      </c>
      <c r="BD167" s="5" t="n">
        <f aca="false">BD166+LN(1+($G167+BD$7)*$AM167)</f>
        <v>1.13061094969683</v>
      </c>
      <c r="BE167" s="5" t="n">
        <f aca="false">IF(AB167,O167,IF(D167,MIN(O167,AC167*X167+BF166),0))</f>
        <v>0</v>
      </c>
      <c r="BF167" s="5" t="n">
        <f aca="false">IF(OR(AB167,E167),0,BE167-AD167)</f>
        <v>0</v>
      </c>
      <c r="BG167" s="5" t="n">
        <f aca="false">BG166+LN(1+($G167+BG$7)*$AM167)</f>
        <v>1.08723053597998</v>
      </c>
      <c r="BH167" s="5"/>
      <c r="BI167" s="5" t="n">
        <f aca="false">BI166+LN(1+($G167+BI$7)*$AM167)</f>
        <v>1.16609508976788</v>
      </c>
      <c r="BJ167" s="5"/>
      <c r="BK167" s="62" t="n">
        <f aca="false">C167</f>
        <v>60587</v>
      </c>
      <c r="BL167" s="67" t="n">
        <f aca="false">AI167</f>
        <v>0</v>
      </c>
    </row>
    <row r="168" customFormat="false" ht="15" hidden="false" customHeight="true" outlineLevel="0" collapsed="false">
      <c r="A168" s="3" t="n">
        <v>158</v>
      </c>
      <c r="B168" s="38" t="n">
        <f aca="false">EDATE(Inputs!$C$8,3*(A168-1))</f>
        <v>60678</v>
      </c>
      <c r="C168" s="38" t="n">
        <f aca="false">WORKDAY(B168-1,1)</f>
        <v>60678</v>
      </c>
      <c r="D168" s="61" t="b">
        <f aca="false">C168&lt;=Inputs!$C$9</f>
        <v>0</v>
      </c>
      <c r="E168" s="61" t="b">
        <f aca="false">AND(D168,NOT(D169))</f>
        <v>0</v>
      </c>
      <c r="F168" s="63" t="n">
        <f aca="false">(C168-C167)/360</f>
        <v>0.252777777777778</v>
      </c>
      <c r="G168" s="57" t="n">
        <f aca="false">Curve!D161</f>
        <v>0.02252</v>
      </c>
      <c r="H168" s="64" t="n">
        <f aca="false">AF167</f>
        <v>0</v>
      </c>
      <c r="I168" s="64" t="n">
        <f aca="false">IF(D168,H168*Inputs!$G$22,0)</f>
        <v>0</v>
      </c>
      <c r="J168" s="32" t="n">
        <f aca="false">MAX(Inputs!$G$24-(A168-1),1)</f>
        <v>1</v>
      </c>
      <c r="K168" s="64" t="n">
        <f aca="false">IF(D168,MIN(H168-I168,IF(J168&gt;1,(H168-I168)*Inputs!$G$23/((1+Inputs!$G$23)^J168-1),H168-I168)),0)</f>
        <v>0</v>
      </c>
      <c r="L168" s="64" t="n">
        <f aca="false">IF(D168,(H168-I168-K168)*Inputs!$G$21,0)</f>
        <v>0</v>
      </c>
      <c r="M168" s="64" t="n">
        <f aca="false">IF(A168&gt;Inputs!$G$13,(1-Inputs!$G$12)*INDEX($I$11:$I$190,A168-Inputs!$G$13),0)</f>
        <v>0</v>
      </c>
      <c r="N168" s="64" t="n">
        <f aca="false">IF(D168,(H168-I168)*Inputs!$G$23,0)</f>
        <v>0</v>
      </c>
      <c r="O168" s="64" t="n">
        <f aca="false">AG167</f>
        <v>0</v>
      </c>
      <c r="P168" s="64" t="n">
        <f aca="false">AH167</f>
        <v>0</v>
      </c>
      <c r="Q168" s="64" t="n">
        <f aca="false">IF(AND(D168,O168+P168&gt;0),Inputs!$C$25+Inputs!$C$26*H168/4,0)</f>
        <v>0</v>
      </c>
      <c r="R168" s="64" t="n">
        <f aca="false">O168*IF(Inputs!$G$19="",G168+Inputs!$C$13,MAX(Inputs!$G$19,G168+Inputs!$C$13))*F168</f>
        <v>0</v>
      </c>
      <c r="S168" s="64" t="n">
        <f aca="false">P168*(G168+Inputs!$C$14)*F168</f>
        <v>0</v>
      </c>
      <c r="T168" s="64" t="n">
        <f aca="false">N168+M168-Q168-R168-S168</f>
        <v>0</v>
      </c>
      <c r="U168" s="64" t="n">
        <f aca="false">W167</f>
        <v>260422.420657149</v>
      </c>
      <c r="V168" s="64" t="n">
        <f aca="false">MIN(U168+I168,MAX(T168,0))</f>
        <v>0</v>
      </c>
      <c r="W168" s="64" t="n">
        <f aca="false">U168+I168-V168</f>
        <v>260422.420657149</v>
      </c>
      <c r="X168" s="64" t="n">
        <f aca="false">K168+L168+V168+IF(E168,H168-I168-K168-L168,0)</f>
        <v>0</v>
      </c>
      <c r="Y168" s="61" t="b">
        <f aca="false">AND(Inputs!$C$21=1,O168/Inputs!$C$10&lt;=Inputs!$C$22,Inputs!$G$14&lt;Inputs!$C$23,W168&lt;1)</f>
        <v>0</v>
      </c>
      <c r="Z168" s="61" t="b">
        <f aca="false">OR(AND(Inputs!$G$15=1,H168/Inputs!$C$17&lt;=Inputs!$C$24),AND(Inputs!$G$15=2,C168&gt;=Inputs!$G$16))</f>
        <v>0</v>
      </c>
      <c r="AA168" s="61" t="b">
        <f aca="false">OR(AA167,Z168)</f>
        <v>0</v>
      </c>
      <c r="AB168" s="61" t="b">
        <f aca="false">AND(Z168,NOT(AA167),D168,O168&gt;0)</f>
        <v>0</v>
      </c>
      <c r="AC168" s="63" t="n">
        <f aca="false">IF(AND(Y168,NOT(E168),O168+P168&gt;0),O168/(O168+P168),1)</f>
        <v>1</v>
      </c>
      <c r="AD168" s="64" t="n">
        <f aca="false">IF(AB168,O168,IF(D168,MIN(O168,IF(E168,AC168*X168+BF167,BE168*Inputs!$G$20)),0))</f>
        <v>0</v>
      </c>
      <c r="AE168" s="64" t="n">
        <f aca="false">IF(AB168,P168,IF(D168,MAX(MIN(P168,X168-MIN(O168,AC168*X168)),0),0))</f>
        <v>0</v>
      </c>
      <c r="AF168" s="64" t="n">
        <f aca="false">IF(OR(AB168,E168),0,MAX(H168-I168-K168-L168,0))</f>
        <v>0</v>
      </c>
      <c r="AG168" s="64" t="n">
        <f aca="false">IF(E168,0,O168-AD168)</f>
        <v>0</v>
      </c>
      <c r="AH168" s="64" t="n">
        <f aca="false">IF(OR(AB168,E168),0,P168-AE168)</f>
        <v>0</v>
      </c>
      <c r="AI168" s="64" t="n">
        <f aca="false">IF(D168,R168+AD168,0)</f>
        <v>0</v>
      </c>
      <c r="AJ168" s="65" t="n">
        <f aca="false">(C168-Inputs!$G$6)/365</f>
        <v>39.4219178082192</v>
      </c>
      <c r="AK168" s="29" t="n">
        <f aca="false">AG168/Inputs!$C$10</f>
        <v>0</v>
      </c>
      <c r="AL168" s="5"/>
      <c r="AM168" s="66" t="n">
        <f aca="false">F168</f>
        <v>0.252777777777778</v>
      </c>
      <c r="AN168" s="5"/>
      <c r="AO168" s="5" t="n">
        <f aca="false">AO167+LN(1+($G168+AO$7)*$AM168)</f>
        <v>1.00085136879011</v>
      </c>
      <c r="AP168" s="5" t="n">
        <f aca="false">AP167+LN(1+($G168+AP$7)*$AM168)</f>
        <v>1.0048229897011</v>
      </c>
      <c r="AQ168" s="5" t="n">
        <f aca="false">AQ167+LN(1+($G168+AQ$7)*$AM168)</f>
        <v>1.13239635950185</v>
      </c>
      <c r="AR168" s="5" t="n">
        <f aca="false">AR167+LN(1+($G168+AR$7)*$AM168)</f>
        <v>1.13636467064195</v>
      </c>
      <c r="AS168" s="5" t="n">
        <f aca="false">AS167+LN(1+($G168+AS$7)*$AM168)</f>
        <v>1.1338388420884</v>
      </c>
      <c r="AT168" s="5" t="n">
        <f aca="false">AT167+LN(1+($G168+AT$7)*$AM168)</f>
        <v>1.13780711694987</v>
      </c>
      <c r="AU168" s="5" t="n">
        <f aca="false">AU167+LN(1+($G168+AU$7)*$AM168)</f>
        <v>1.13383853410465</v>
      </c>
      <c r="AV168" s="5" t="n">
        <f aca="false">AV167+LN(1+($G168+AV$7)*$AM168)</f>
        <v>1.13780680897387</v>
      </c>
      <c r="AW168" s="5" t="n">
        <f aca="false">AW167+LN(1+($G168+AW$7)*$AM168)</f>
        <v>1.13383853420794</v>
      </c>
      <c r="AX168" s="5" t="n">
        <f aca="false">AX167+LN(1+($G168+AX$7)*$AM168)</f>
        <v>1.13780680907716</v>
      </c>
      <c r="AY168" s="5" t="n">
        <f aca="false">AY167+LN(1+($G168+AY$7)*$AM168)</f>
        <v>1.13383853420792</v>
      </c>
      <c r="AZ168" s="5" t="n">
        <f aca="false">AZ167+LN(1+($G168+AZ$7)*$AM168)</f>
        <v>1.13780680907713</v>
      </c>
      <c r="BA168" s="5" t="n">
        <f aca="false">BA167+LN(1+($G168+BA$7)*$AM168)</f>
        <v>1.13383853420792</v>
      </c>
      <c r="BB168" s="5" t="n">
        <f aca="false">BB167+LN(1+($G168+BB$7)*$AM168)</f>
        <v>1.13780680907713</v>
      </c>
      <c r="BC168" s="5" t="n">
        <f aca="false">BC167+LN(1+($G168+BC$7)*$AM168)</f>
        <v>1.13383853420792</v>
      </c>
      <c r="BD168" s="5" t="n">
        <f aca="false">BD167+LN(1+($G168+BD$7)*$AM168)</f>
        <v>1.13780680907713</v>
      </c>
      <c r="BE168" s="5" t="n">
        <f aca="false">IF(AB168,O168,IF(D168,MIN(O168,AC168*X168+BF167),0))</f>
        <v>0</v>
      </c>
      <c r="BF168" s="5" t="n">
        <f aca="false">IF(OR(AB168,E168),0,BE168-AD168)</f>
        <v>0</v>
      </c>
      <c r="BG168" s="5" t="n">
        <f aca="false">BG167+LN(1+($G168+BG$7)*$AM168)</f>
        <v>1.09415029535962</v>
      </c>
      <c r="BH168" s="5"/>
      <c r="BI168" s="5" t="n">
        <f aca="false">BI167+LN(1+($G168+BI$7)*$AM168)</f>
        <v>1.17351679246157</v>
      </c>
      <c r="BJ168" s="5"/>
      <c r="BK168" s="62" t="n">
        <f aca="false">C168</f>
        <v>60678</v>
      </c>
      <c r="BL168" s="67" t="n">
        <f aca="false">AI168</f>
        <v>0</v>
      </c>
    </row>
    <row r="169" customFormat="false" ht="15" hidden="false" customHeight="true" outlineLevel="0" collapsed="false">
      <c r="A169" s="3" t="n">
        <v>159</v>
      </c>
      <c r="B169" s="38" t="n">
        <f aca="false">EDATE(Inputs!$C$8,3*(A169-1))</f>
        <v>60767</v>
      </c>
      <c r="C169" s="38" t="n">
        <f aca="false">WORKDAY(B169-1,1)</f>
        <v>60769</v>
      </c>
      <c r="D169" s="61" t="b">
        <f aca="false">C169&lt;=Inputs!$C$9</f>
        <v>0</v>
      </c>
      <c r="E169" s="61" t="b">
        <f aca="false">AND(D169,NOT(D170))</f>
        <v>0</v>
      </c>
      <c r="F169" s="63" t="n">
        <f aca="false">(C169-C168)/360</f>
        <v>0.252777777777778</v>
      </c>
      <c r="G169" s="57" t="n">
        <f aca="false">Curve!D162</f>
        <v>0.02252</v>
      </c>
      <c r="H169" s="64" t="n">
        <f aca="false">AF168</f>
        <v>0</v>
      </c>
      <c r="I169" s="64" t="n">
        <f aca="false">IF(D169,H169*Inputs!$G$22,0)</f>
        <v>0</v>
      </c>
      <c r="J169" s="32" t="n">
        <f aca="false">MAX(Inputs!$G$24-(A169-1),1)</f>
        <v>1</v>
      </c>
      <c r="K169" s="64" t="n">
        <f aca="false">IF(D169,MIN(H169-I169,IF(J169&gt;1,(H169-I169)*Inputs!$G$23/((1+Inputs!$G$23)^J169-1),H169-I169)),0)</f>
        <v>0</v>
      </c>
      <c r="L169" s="64" t="n">
        <f aca="false">IF(D169,(H169-I169-K169)*Inputs!$G$21,0)</f>
        <v>0</v>
      </c>
      <c r="M169" s="64" t="n">
        <f aca="false">IF(A169&gt;Inputs!$G$13,(1-Inputs!$G$12)*INDEX($I$11:$I$190,A169-Inputs!$G$13),0)</f>
        <v>0</v>
      </c>
      <c r="N169" s="64" t="n">
        <f aca="false">IF(D169,(H169-I169)*Inputs!$G$23,0)</f>
        <v>0</v>
      </c>
      <c r="O169" s="64" t="n">
        <f aca="false">AG168</f>
        <v>0</v>
      </c>
      <c r="P169" s="64" t="n">
        <f aca="false">AH168</f>
        <v>0</v>
      </c>
      <c r="Q169" s="64" t="n">
        <f aca="false">IF(AND(D169,O169+P169&gt;0),Inputs!$C$25+Inputs!$C$26*H169/4,0)</f>
        <v>0</v>
      </c>
      <c r="R169" s="64" t="n">
        <f aca="false">O169*IF(Inputs!$G$19="",G169+Inputs!$C$13,MAX(Inputs!$G$19,G169+Inputs!$C$13))*F169</f>
        <v>0</v>
      </c>
      <c r="S169" s="64" t="n">
        <f aca="false">P169*(G169+Inputs!$C$14)*F169</f>
        <v>0</v>
      </c>
      <c r="T169" s="64" t="n">
        <f aca="false">N169+M169-Q169-R169-S169</f>
        <v>0</v>
      </c>
      <c r="U169" s="64" t="n">
        <f aca="false">W168</f>
        <v>260422.420657149</v>
      </c>
      <c r="V169" s="64" t="n">
        <f aca="false">MIN(U169+I169,MAX(T169,0))</f>
        <v>0</v>
      </c>
      <c r="W169" s="64" t="n">
        <f aca="false">U169+I169-V169</f>
        <v>260422.420657149</v>
      </c>
      <c r="X169" s="64" t="n">
        <f aca="false">K169+L169+V169+IF(E169,H169-I169-K169-L169,0)</f>
        <v>0</v>
      </c>
      <c r="Y169" s="61" t="b">
        <f aca="false">AND(Inputs!$C$21=1,O169/Inputs!$C$10&lt;=Inputs!$C$22,Inputs!$G$14&lt;Inputs!$C$23,W169&lt;1)</f>
        <v>0</v>
      </c>
      <c r="Z169" s="61" t="b">
        <f aca="false">OR(AND(Inputs!$G$15=1,H169/Inputs!$C$17&lt;=Inputs!$C$24),AND(Inputs!$G$15=2,C169&gt;=Inputs!$G$16))</f>
        <v>0</v>
      </c>
      <c r="AA169" s="61" t="b">
        <f aca="false">OR(AA168,Z169)</f>
        <v>0</v>
      </c>
      <c r="AB169" s="61" t="b">
        <f aca="false">AND(Z169,NOT(AA168),D169,O169&gt;0)</f>
        <v>0</v>
      </c>
      <c r="AC169" s="63" t="n">
        <f aca="false">IF(AND(Y169,NOT(E169),O169+P169&gt;0),O169/(O169+P169),1)</f>
        <v>1</v>
      </c>
      <c r="AD169" s="64" t="n">
        <f aca="false">IF(AB169,O169,IF(D169,MIN(O169,IF(E169,AC169*X169+BF168,BE169*Inputs!$G$20)),0))</f>
        <v>0</v>
      </c>
      <c r="AE169" s="64" t="n">
        <f aca="false">IF(AB169,P169,IF(D169,MAX(MIN(P169,X169-MIN(O169,AC169*X169)),0),0))</f>
        <v>0</v>
      </c>
      <c r="AF169" s="64" t="n">
        <f aca="false">IF(OR(AB169,E169),0,MAX(H169-I169-K169-L169,0))</f>
        <v>0</v>
      </c>
      <c r="AG169" s="64" t="n">
        <f aca="false">IF(E169,0,O169-AD169)</f>
        <v>0</v>
      </c>
      <c r="AH169" s="64" t="n">
        <f aca="false">IF(OR(AB169,E169),0,P169-AE169)</f>
        <v>0</v>
      </c>
      <c r="AI169" s="64" t="n">
        <f aca="false">IF(D169,R169+AD169,0)</f>
        <v>0</v>
      </c>
      <c r="AJ169" s="65" t="n">
        <f aca="false">(C169-Inputs!$G$6)/365</f>
        <v>39.6712328767123</v>
      </c>
      <c r="AK169" s="29" t="n">
        <f aca="false">AG169/Inputs!$C$10</f>
        <v>0</v>
      </c>
      <c r="AL169" s="5"/>
      <c r="AM169" s="66" t="n">
        <f aca="false">F169</f>
        <v>0.252777777777778</v>
      </c>
      <c r="AN169" s="5"/>
      <c r="AO169" s="5" t="n">
        <f aca="false">AO168+LN(1+($G169+AO$7)*$AM169)</f>
        <v>1.00718107166494</v>
      </c>
      <c r="AP169" s="5" t="n">
        <f aca="false">AP168+LN(1+($G169+AP$7)*$AM169)</f>
        <v>1.01117781054274</v>
      </c>
      <c r="AQ169" s="5" t="n">
        <f aca="false">AQ168+LN(1+($G169+AQ$7)*$AM169)</f>
        <v>1.13955800118153</v>
      </c>
      <c r="AR169" s="5" t="n">
        <f aca="false">AR168+LN(1+($G169+AR$7)*$AM169)</f>
        <v>1.14355140940078</v>
      </c>
      <c r="AS169" s="5" t="n">
        <f aca="false">AS168+LN(1+($G169+AS$7)*$AM169)</f>
        <v>1.14100960656561</v>
      </c>
      <c r="AT169" s="5" t="n">
        <f aca="false">AT168+LN(1+($G169+AT$7)*$AM169)</f>
        <v>1.14500297827727</v>
      </c>
      <c r="AU169" s="5" t="n">
        <f aca="false">AU168+LN(1+($G169+AU$7)*$AM169)</f>
        <v>1.14100929663405</v>
      </c>
      <c r="AV169" s="5" t="n">
        <f aca="false">AV168+LN(1+($G169+AV$7)*$AM169)</f>
        <v>1.14500266835351</v>
      </c>
      <c r="AW169" s="5" t="n">
        <f aca="false">AW168+LN(1+($G169+AW$7)*$AM169)</f>
        <v>1.14100929673799</v>
      </c>
      <c r="AX169" s="5" t="n">
        <f aca="false">AX168+LN(1+($G169+AX$7)*$AM169)</f>
        <v>1.14500266845746</v>
      </c>
      <c r="AY169" s="5" t="n">
        <f aca="false">AY168+LN(1+($G169+AY$7)*$AM169)</f>
        <v>1.14100929673797</v>
      </c>
      <c r="AZ169" s="5" t="n">
        <f aca="false">AZ168+LN(1+($G169+AZ$7)*$AM169)</f>
        <v>1.14500266845742</v>
      </c>
      <c r="BA169" s="5" t="n">
        <f aca="false">BA168+LN(1+($G169+BA$7)*$AM169)</f>
        <v>1.14100929673797</v>
      </c>
      <c r="BB169" s="5" t="n">
        <f aca="false">BB168+LN(1+($G169+BB$7)*$AM169)</f>
        <v>1.14500266845742</v>
      </c>
      <c r="BC169" s="5" t="n">
        <f aca="false">BC168+LN(1+($G169+BC$7)*$AM169)</f>
        <v>1.14100929673797</v>
      </c>
      <c r="BD169" s="5" t="n">
        <f aca="false">BD168+LN(1+($G169+BD$7)*$AM169)</f>
        <v>1.14500266845742</v>
      </c>
      <c r="BE169" s="5" t="n">
        <f aca="false">IF(AB169,O169,IF(D169,MIN(O169,AC169*X169+BF168),0))</f>
        <v>0</v>
      </c>
      <c r="BF169" s="5" t="n">
        <f aca="false">IF(OR(AB169,E169),0,BE169-AD169)</f>
        <v>0</v>
      </c>
      <c r="BG169" s="5" t="n">
        <f aca="false">BG168+LN(1+($G169+BG$7)*$AM169)</f>
        <v>1.10107005473927</v>
      </c>
      <c r="BH169" s="5"/>
      <c r="BI169" s="5" t="n">
        <f aca="false">BI168+LN(1+($G169+BI$7)*$AM169)</f>
        <v>1.18093849515525</v>
      </c>
      <c r="BJ169" s="5"/>
      <c r="BK169" s="62" t="n">
        <f aca="false">C169</f>
        <v>60769</v>
      </c>
      <c r="BL169" s="67" t="n">
        <f aca="false">AI169</f>
        <v>0</v>
      </c>
    </row>
    <row r="170" customFormat="false" ht="15" hidden="false" customHeight="true" outlineLevel="0" collapsed="false">
      <c r="A170" s="3" t="n">
        <v>160</v>
      </c>
      <c r="B170" s="38" t="n">
        <f aca="false">EDATE(Inputs!$C$8,3*(A170-1))</f>
        <v>60859</v>
      </c>
      <c r="C170" s="38" t="n">
        <f aca="false">WORKDAY(B170-1,1)</f>
        <v>60860</v>
      </c>
      <c r="D170" s="61" t="b">
        <f aca="false">C170&lt;=Inputs!$C$9</f>
        <v>0</v>
      </c>
      <c r="E170" s="61" t="b">
        <f aca="false">AND(D170,NOT(D171))</f>
        <v>0</v>
      </c>
      <c r="F170" s="63" t="n">
        <f aca="false">(C170-C169)/360</f>
        <v>0.252777777777778</v>
      </c>
      <c r="G170" s="57" t="n">
        <f aca="false">Curve!D163</f>
        <v>0.02252</v>
      </c>
      <c r="H170" s="64" t="n">
        <f aca="false">AF169</f>
        <v>0</v>
      </c>
      <c r="I170" s="64" t="n">
        <f aca="false">IF(D170,H170*Inputs!$G$22,0)</f>
        <v>0</v>
      </c>
      <c r="J170" s="32" t="n">
        <f aca="false">MAX(Inputs!$G$24-(A170-1),1)</f>
        <v>1</v>
      </c>
      <c r="K170" s="64" t="n">
        <f aca="false">IF(D170,MIN(H170-I170,IF(J170&gt;1,(H170-I170)*Inputs!$G$23/((1+Inputs!$G$23)^J170-1),H170-I170)),0)</f>
        <v>0</v>
      </c>
      <c r="L170" s="64" t="n">
        <f aca="false">IF(D170,(H170-I170-K170)*Inputs!$G$21,0)</f>
        <v>0</v>
      </c>
      <c r="M170" s="64" t="n">
        <f aca="false">IF(A170&gt;Inputs!$G$13,(1-Inputs!$G$12)*INDEX($I$11:$I$190,A170-Inputs!$G$13),0)</f>
        <v>0</v>
      </c>
      <c r="N170" s="64" t="n">
        <f aca="false">IF(D170,(H170-I170)*Inputs!$G$23,0)</f>
        <v>0</v>
      </c>
      <c r="O170" s="64" t="n">
        <f aca="false">AG169</f>
        <v>0</v>
      </c>
      <c r="P170" s="64" t="n">
        <f aca="false">AH169</f>
        <v>0</v>
      </c>
      <c r="Q170" s="64" t="n">
        <f aca="false">IF(AND(D170,O170+P170&gt;0),Inputs!$C$25+Inputs!$C$26*H170/4,0)</f>
        <v>0</v>
      </c>
      <c r="R170" s="64" t="n">
        <f aca="false">O170*IF(Inputs!$G$19="",G170+Inputs!$C$13,MAX(Inputs!$G$19,G170+Inputs!$C$13))*F170</f>
        <v>0</v>
      </c>
      <c r="S170" s="64" t="n">
        <f aca="false">P170*(G170+Inputs!$C$14)*F170</f>
        <v>0</v>
      </c>
      <c r="T170" s="64" t="n">
        <f aca="false">N170+M170-Q170-R170-S170</f>
        <v>0</v>
      </c>
      <c r="U170" s="64" t="n">
        <f aca="false">W169</f>
        <v>260422.420657149</v>
      </c>
      <c r="V170" s="64" t="n">
        <f aca="false">MIN(U170+I170,MAX(T170,0))</f>
        <v>0</v>
      </c>
      <c r="W170" s="64" t="n">
        <f aca="false">U170+I170-V170</f>
        <v>260422.420657149</v>
      </c>
      <c r="X170" s="64" t="n">
        <f aca="false">K170+L170+V170+IF(E170,H170-I170-K170-L170,0)</f>
        <v>0</v>
      </c>
      <c r="Y170" s="61" t="b">
        <f aca="false">AND(Inputs!$C$21=1,O170/Inputs!$C$10&lt;=Inputs!$C$22,Inputs!$G$14&lt;Inputs!$C$23,W170&lt;1)</f>
        <v>0</v>
      </c>
      <c r="Z170" s="61" t="b">
        <f aca="false">OR(AND(Inputs!$G$15=1,H170/Inputs!$C$17&lt;=Inputs!$C$24),AND(Inputs!$G$15=2,C170&gt;=Inputs!$G$16))</f>
        <v>0</v>
      </c>
      <c r="AA170" s="61" t="b">
        <f aca="false">OR(AA169,Z170)</f>
        <v>0</v>
      </c>
      <c r="AB170" s="61" t="b">
        <f aca="false">AND(Z170,NOT(AA169),D170,O170&gt;0)</f>
        <v>0</v>
      </c>
      <c r="AC170" s="63" t="n">
        <f aca="false">IF(AND(Y170,NOT(E170),O170+P170&gt;0),O170/(O170+P170),1)</f>
        <v>1</v>
      </c>
      <c r="AD170" s="64" t="n">
        <f aca="false">IF(AB170,O170,IF(D170,MIN(O170,IF(E170,AC170*X170+BF169,BE170*Inputs!$G$20)),0))</f>
        <v>0</v>
      </c>
      <c r="AE170" s="64" t="n">
        <f aca="false">IF(AB170,P170,IF(D170,MAX(MIN(P170,X170-MIN(O170,AC170*X170)),0),0))</f>
        <v>0</v>
      </c>
      <c r="AF170" s="64" t="n">
        <f aca="false">IF(OR(AB170,E170),0,MAX(H170-I170-K170-L170,0))</f>
        <v>0</v>
      </c>
      <c r="AG170" s="64" t="n">
        <f aca="false">IF(E170,0,O170-AD170)</f>
        <v>0</v>
      </c>
      <c r="AH170" s="64" t="n">
        <f aca="false">IF(OR(AB170,E170),0,P170-AE170)</f>
        <v>0</v>
      </c>
      <c r="AI170" s="64" t="n">
        <f aca="false">IF(D170,R170+AD170,0)</f>
        <v>0</v>
      </c>
      <c r="AJ170" s="65" t="n">
        <f aca="false">(C170-Inputs!$G$6)/365</f>
        <v>39.9205479452055</v>
      </c>
      <c r="AK170" s="29" t="n">
        <f aca="false">AG170/Inputs!$C$10</f>
        <v>0</v>
      </c>
      <c r="AL170" s="5"/>
      <c r="AM170" s="66" t="n">
        <f aca="false">F170</f>
        <v>0.252777777777778</v>
      </c>
      <c r="AN170" s="5"/>
      <c r="AO170" s="5" t="n">
        <f aca="false">AO169+LN(1+($G170+AO$7)*$AM170)</f>
        <v>1.01351077453977</v>
      </c>
      <c r="AP170" s="5" t="n">
        <f aca="false">AP169+LN(1+($G170+AP$7)*$AM170)</f>
        <v>1.01753263138438</v>
      </c>
      <c r="AQ170" s="5" t="n">
        <f aca="false">AQ169+LN(1+($G170+AQ$7)*$AM170)</f>
        <v>1.14671964286122</v>
      </c>
      <c r="AR170" s="5" t="n">
        <f aca="false">AR169+LN(1+($G170+AR$7)*$AM170)</f>
        <v>1.15073814815961</v>
      </c>
      <c r="AS170" s="5" t="n">
        <f aca="false">AS169+LN(1+($G170+AS$7)*$AM170)</f>
        <v>1.14818037104281</v>
      </c>
      <c r="AT170" s="5" t="n">
        <f aca="false">AT169+LN(1+($G170+AT$7)*$AM170)</f>
        <v>1.15219883960467</v>
      </c>
      <c r="AU170" s="5" t="n">
        <f aca="false">AU169+LN(1+($G170+AU$7)*$AM170)</f>
        <v>1.14818005916345</v>
      </c>
      <c r="AV170" s="5" t="n">
        <f aca="false">AV169+LN(1+($G170+AV$7)*$AM170)</f>
        <v>1.15219852773316</v>
      </c>
      <c r="AW170" s="5" t="n">
        <f aca="false">AW169+LN(1+($G170+AW$7)*$AM170)</f>
        <v>1.14818005926805</v>
      </c>
      <c r="AX170" s="5" t="n">
        <f aca="false">AX169+LN(1+($G170+AX$7)*$AM170)</f>
        <v>1.15219852783776</v>
      </c>
      <c r="AY170" s="5" t="n">
        <f aca="false">AY169+LN(1+($G170+AY$7)*$AM170)</f>
        <v>1.14818005926803</v>
      </c>
      <c r="AZ170" s="5" t="n">
        <f aca="false">AZ169+LN(1+($G170+AZ$7)*$AM170)</f>
        <v>1.15219852783772</v>
      </c>
      <c r="BA170" s="5" t="n">
        <f aca="false">BA169+LN(1+($G170+BA$7)*$AM170)</f>
        <v>1.14818005926803</v>
      </c>
      <c r="BB170" s="5" t="n">
        <f aca="false">BB169+LN(1+($G170+BB$7)*$AM170)</f>
        <v>1.15219852783772</v>
      </c>
      <c r="BC170" s="5" t="n">
        <f aca="false">BC169+LN(1+($G170+BC$7)*$AM170)</f>
        <v>1.14818005926803</v>
      </c>
      <c r="BD170" s="5" t="n">
        <f aca="false">BD169+LN(1+($G170+BD$7)*$AM170)</f>
        <v>1.15219852783772</v>
      </c>
      <c r="BE170" s="5" t="n">
        <f aca="false">IF(AB170,O170,IF(D170,MIN(O170,AC170*X170+BF169),0))</f>
        <v>0</v>
      </c>
      <c r="BF170" s="5" t="n">
        <f aca="false">IF(OR(AB170,E170),0,BE170-AD170)</f>
        <v>0</v>
      </c>
      <c r="BG170" s="5" t="n">
        <f aca="false">BG169+LN(1+($G170+BG$7)*$AM170)</f>
        <v>1.10798981411892</v>
      </c>
      <c r="BH170" s="5"/>
      <c r="BI170" s="5" t="n">
        <f aca="false">BI169+LN(1+($G170+BI$7)*$AM170)</f>
        <v>1.18836019784894</v>
      </c>
      <c r="BJ170" s="5"/>
      <c r="BK170" s="62" t="n">
        <f aca="false">C170</f>
        <v>60860</v>
      </c>
      <c r="BL170" s="67" t="n">
        <f aca="false">AI170</f>
        <v>0</v>
      </c>
    </row>
    <row r="171" customFormat="false" ht="15" hidden="false" customHeight="true" outlineLevel="0" collapsed="false">
      <c r="A171" s="3" t="n">
        <v>161</v>
      </c>
      <c r="B171" s="38" t="n">
        <f aca="false">EDATE(Inputs!$C$8,3*(A171-1))</f>
        <v>60951</v>
      </c>
      <c r="C171" s="38" t="n">
        <f aca="false">WORKDAY(B171-1,1)</f>
        <v>60951</v>
      </c>
      <c r="D171" s="61" t="b">
        <f aca="false">C171&lt;=Inputs!$C$9</f>
        <v>0</v>
      </c>
      <c r="E171" s="61" t="b">
        <f aca="false">AND(D171,NOT(D172))</f>
        <v>0</v>
      </c>
      <c r="F171" s="63" t="n">
        <f aca="false">(C171-C170)/360</f>
        <v>0.252777777777778</v>
      </c>
      <c r="G171" s="57" t="n">
        <f aca="false">Curve!D164</f>
        <v>0.02252</v>
      </c>
      <c r="H171" s="64" t="n">
        <f aca="false">AF170</f>
        <v>0</v>
      </c>
      <c r="I171" s="64" t="n">
        <f aca="false">IF(D171,H171*Inputs!$G$22,0)</f>
        <v>0</v>
      </c>
      <c r="J171" s="32" t="n">
        <f aca="false">MAX(Inputs!$G$24-(A171-1),1)</f>
        <v>1</v>
      </c>
      <c r="K171" s="64" t="n">
        <f aca="false">IF(D171,MIN(H171-I171,IF(J171&gt;1,(H171-I171)*Inputs!$G$23/((1+Inputs!$G$23)^J171-1),H171-I171)),0)</f>
        <v>0</v>
      </c>
      <c r="L171" s="64" t="n">
        <f aca="false">IF(D171,(H171-I171-K171)*Inputs!$G$21,0)</f>
        <v>0</v>
      </c>
      <c r="M171" s="64" t="n">
        <f aca="false">IF(A171&gt;Inputs!$G$13,(1-Inputs!$G$12)*INDEX($I$11:$I$190,A171-Inputs!$G$13),0)</f>
        <v>0</v>
      </c>
      <c r="N171" s="64" t="n">
        <f aca="false">IF(D171,(H171-I171)*Inputs!$G$23,0)</f>
        <v>0</v>
      </c>
      <c r="O171" s="64" t="n">
        <f aca="false">AG170</f>
        <v>0</v>
      </c>
      <c r="P171" s="64" t="n">
        <f aca="false">AH170</f>
        <v>0</v>
      </c>
      <c r="Q171" s="64" t="n">
        <f aca="false">IF(AND(D171,O171+P171&gt;0),Inputs!$C$25+Inputs!$C$26*H171/4,0)</f>
        <v>0</v>
      </c>
      <c r="R171" s="64" t="n">
        <f aca="false">O171*IF(Inputs!$G$19="",G171+Inputs!$C$13,MAX(Inputs!$G$19,G171+Inputs!$C$13))*F171</f>
        <v>0</v>
      </c>
      <c r="S171" s="64" t="n">
        <f aca="false">P171*(G171+Inputs!$C$14)*F171</f>
        <v>0</v>
      </c>
      <c r="T171" s="64" t="n">
        <f aca="false">N171+M171-Q171-R171-S171</f>
        <v>0</v>
      </c>
      <c r="U171" s="64" t="n">
        <f aca="false">W170</f>
        <v>260422.420657149</v>
      </c>
      <c r="V171" s="64" t="n">
        <f aca="false">MIN(U171+I171,MAX(T171,0))</f>
        <v>0</v>
      </c>
      <c r="W171" s="64" t="n">
        <f aca="false">U171+I171-V171</f>
        <v>260422.420657149</v>
      </c>
      <c r="X171" s="64" t="n">
        <f aca="false">K171+L171+V171+IF(E171,H171-I171-K171-L171,0)</f>
        <v>0</v>
      </c>
      <c r="Y171" s="61" t="b">
        <f aca="false">AND(Inputs!$C$21=1,O171/Inputs!$C$10&lt;=Inputs!$C$22,Inputs!$G$14&lt;Inputs!$C$23,W171&lt;1)</f>
        <v>0</v>
      </c>
      <c r="Z171" s="61" t="b">
        <f aca="false">OR(AND(Inputs!$G$15=1,H171/Inputs!$C$17&lt;=Inputs!$C$24),AND(Inputs!$G$15=2,C171&gt;=Inputs!$G$16))</f>
        <v>0</v>
      </c>
      <c r="AA171" s="61" t="b">
        <f aca="false">OR(AA170,Z171)</f>
        <v>0</v>
      </c>
      <c r="AB171" s="61" t="b">
        <f aca="false">AND(Z171,NOT(AA170),D171,O171&gt;0)</f>
        <v>0</v>
      </c>
      <c r="AC171" s="63" t="n">
        <f aca="false">IF(AND(Y171,NOT(E171),O171+P171&gt;0),O171/(O171+P171),1)</f>
        <v>1</v>
      </c>
      <c r="AD171" s="64" t="n">
        <f aca="false">IF(AB171,O171,IF(D171,MIN(O171,IF(E171,AC171*X171+BF170,BE171*Inputs!$G$20)),0))</f>
        <v>0</v>
      </c>
      <c r="AE171" s="64" t="n">
        <f aca="false">IF(AB171,P171,IF(D171,MAX(MIN(P171,X171-MIN(O171,AC171*X171)),0),0))</f>
        <v>0</v>
      </c>
      <c r="AF171" s="64" t="n">
        <f aca="false">IF(OR(AB171,E171),0,MAX(H171-I171-K171-L171,0))</f>
        <v>0</v>
      </c>
      <c r="AG171" s="64" t="n">
        <f aca="false">IF(E171,0,O171-AD171)</f>
        <v>0</v>
      </c>
      <c r="AH171" s="64" t="n">
        <f aca="false">IF(OR(AB171,E171),0,P171-AE171)</f>
        <v>0</v>
      </c>
      <c r="AI171" s="64" t="n">
        <f aca="false">IF(D171,R171+AD171,0)</f>
        <v>0</v>
      </c>
      <c r="AJ171" s="65" t="n">
        <f aca="false">(C171-Inputs!$G$6)/365</f>
        <v>40.1698630136986</v>
      </c>
      <c r="AK171" s="29" t="n">
        <f aca="false">AG171/Inputs!$C$10</f>
        <v>0</v>
      </c>
      <c r="AL171" s="5"/>
      <c r="AM171" s="66" t="n">
        <f aca="false">F171</f>
        <v>0.252777777777778</v>
      </c>
      <c r="AN171" s="5"/>
      <c r="AO171" s="5" t="n">
        <f aca="false">AO170+LN(1+($G171+AO$7)*$AM171)</f>
        <v>1.0198404774146</v>
      </c>
      <c r="AP171" s="5" t="n">
        <f aca="false">AP170+LN(1+($G171+AP$7)*$AM171)</f>
        <v>1.02388745222602</v>
      </c>
      <c r="AQ171" s="5" t="n">
        <f aca="false">AQ170+LN(1+($G171+AQ$7)*$AM171)</f>
        <v>1.1538812845409</v>
      </c>
      <c r="AR171" s="5" t="n">
        <f aca="false">AR170+LN(1+($G171+AR$7)*$AM171)</f>
        <v>1.15792488691844</v>
      </c>
      <c r="AS171" s="5" t="n">
        <f aca="false">AS170+LN(1+($G171+AS$7)*$AM171)</f>
        <v>1.15535113552001</v>
      </c>
      <c r="AT171" s="5" t="n">
        <f aca="false">AT170+LN(1+($G171+AT$7)*$AM171)</f>
        <v>1.15939470093208</v>
      </c>
      <c r="AU171" s="5" t="n">
        <f aca="false">AU170+LN(1+($G171+AU$7)*$AM171)</f>
        <v>1.15535082169285</v>
      </c>
      <c r="AV171" s="5" t="n">
        <f aca="false">AV170+LN(1+($G171+AV$7)*$AM171)</f>
        <v>1.1593943871128</v>
      </c>
      <c r="AW171" s="5" t="n">
        <f aca="false">AW170+LN(1+($G171+AW$7)*$AM171)</f>
        <v>1.1553508217981</v>
      </c>
      <c r="AX171" s="5" t="n">
        <f aca="false">AX170+LN(1+($G171+AX$7)*$AM171)</f>
        <v>1.15939438721806</v>
      </c>
      <c r="AY171" s="5" t="n">
        <f aca="false">AY170+LN(1+($G171+AY$7)*$AM171)</f>
        <v>1.15535082179808</v>
      </c>
      <c r="AZ171" s="5" t="n">
        <f aca="false">AZ170+LN(1+($G171+AZ$7)*$AM171)</f>
        <v>1.15939438721802</v>
      </c>
      <c r="BA171" s="5" t="n">
        <f aca="false">BA170+LN(1+($G171+BA$7)*$AM171)</f>
        <v>1.15535082179808</v>
      </c>
      <c r="BB171" s="5" t="n">
        <f aca="false">BB170+LN(1+($G171+BB$7)*$AM171)</f>
        <v>1.15939438721802</v>
      </c>
      <c r="BC171" s="5" t="n">
        <f aca="false">BC170+LN(1+($G171+BC$7)*$AM171)</f>
        <v>1.15535082179808</v>
      </c>
      <c r="BD171" s="5" t="n">
        <f aca="false">BD170+LN(1+($G171+BD$7)*$AM171)</f>
        <v>1.15939438721802</v>
      </c>
      <c r="BE171" s="5" t="n">
        <f aca="false">IF(AB171,O171,IF(D171,MIN(O171,AC171*X171+BF170),0))</f>
        <v>0</v>
      </c>
      <c r="BF171" s="5" t="n">
        <f aca="false">IF(OR(AB171,E171),0,BE171-AD171)</f>
        <v>0</v>
      </c>
      <c r="BG171" s="5" t="n">
        <f aca="false">BG170+LN(1+($G171+BG$7)*$AM171)</f>
        <v>1.11490957349856</v>
      </c>
      <c r="BH171" s="5"/>
      <c r="BI171" s="5" t="n">
        <f aca="false">BI170+LN(1+($G171+BI$7)*$AM171)</f>
        <v>1.19578190054263</v>
      </c>
      <c r="BJ171" s="5"/>
      <c r="BK171" s="62" t="n">
        <f aca="false">C171</f>
        <v>60951</v>
      </c>
      <c r="BL171" s="67" t="n">
        <f aca="false">AI171</f>
        <v>0</v>
      </c>
    </row>
    <row r="172" customFormat="false" ht="15" hidden="false" customHeight="true" outlineLevel="0" collapsed="false">
      <c r="A172" s="3" t="n">
        <v>162</v>
      </c>
      <c r="B172" s="38" t="n">
        <f aca="false">EDATE(Inputs!$C$8,3*(A172-1))</f>
        <v>61043</v>
      </c>
      <c r="C172" s="38" t="n">
        <f aca="false">WORKDAY(B172-1,1)</f>
        <v>61043</v>
      </c>
      <c r="D172" s="61" t="b">
        <f aca="false">C172&lt;=Inputs!$C$9</f>
        <v>0</v>
      </c>
      <c r="E172" s="61" t="b">
        <f aca="false">AND(D172,NOT(D173))</f>
        <v>0</v>
      </c>
      <c r="F172" s="63" t="n">
        <f aca="false">(C172-C171)/360</f>
        <v>0.255555555555556</v>
      </c>
      <c r="G172" s="57" t="n">
        <f aca="false">Curve!D165</f>
        <v>0.02252</v>
      </c>
      <c r="H172" s="64" t="n">
        <f aca="false">AF171</f>
        <v>0</v>
      </c>
      <c r="I172" s="64" t="n">
        <f aca="false">IF(D172,H172*Inputs!$G$22,0)</f>
        <v>0</v>
      </c>
      <c r="J172" s="32" t="n">
        <f aca="false">MAX(Inputs!$G$24-(A172-1),1)</f>
        <v>1</v>
      </c>
      <c r="K172" s="64" t="n">
        <f aca="false">IF(D172,MIN(H172-I172,IF(J172&gt;1,(H172-I172)*Inputs!$G$23/((1+Inputs!$G$23)^J172-1),H172-I172)),0)</f>
        <v>0</v>
      </c>
      <c r="L172" s="64" t="n">
        <f aca="false">IF(D172,(H172-I172-K172)*Inputs!$G$21,0)</f>
        <v>0</v>
      </c>
      <c r="M172" s="64" t="n">
        <f aca="false">IF(A172&gt;Inputs!$G$13,(1-Inputs!$G$12)*INDEX($I$11:$I$190,A172-Inputs!$G$13),0)</f>
        <v>0</v>
      </c>
      <c r="N172" s="64" t="n">
        <f aca="false">IF(D172,(H172-I172)*Inputs!$G$23,0)</f>
        <v>0</v>
      </c>
      <c r="O172" s="64" t="n">
        <f aca="false">AG171</f>
        <v>0</v>
      </c>
      <c r="P172" s="64" t="n">
        <f aca="false">AH171</f>
        <v>0</v>
      </c>
      <c r="Q172" s="64" t="n">
        <f aca="false">IF(AND(D172,O172+P172&gt;0),Inputs!$C$25+Inputs!$C$26*H172/4,0)</f>
        <v>0</v>
      </c>
      <c r="R172" s="64" t="n">
        <f aca="false">O172*IF(Inputs!$G$19="",G172+Inputs!$C$13,MAX(Inputs!$G$19,G172+Inputs!$C$13))*F172</f>
        <v>0</v>
      </c>
      <c r="S172" s="64" t="n">
        <f aca="false">P172*(G172+Inputs!$C$14)*F172</f>
        <v>0</v>
      </c>
      <c r="T172" s="64" t="n">
        <f aca="false">N172+M172-Q172-R172-S172</f>
        <v>0</v>
      </c>
      <c r="U172" s="64" t="n">
        <f aca="false">W171</f>
        <v>260422.420657149</v>
      </c>
      <c r="V172" s="64" t="n">
        <f aca="false">MIN(U172+I172,MAX(T172,0))</f>
        <v>0</v>
      </c>
      <c r="W172" s="64" t="n">
        <f aca="false">U172+I172-V172</f>
        <v>260422.420657149</v>
      </c>
      <c r="X172" s="64" t="n">
        <f aca="false">K172+L172+V172+IF(E172,H172-I172-K172-L172,0)</f>
        <v>0</v>
      </c>
      <c r="Y172" s="61" t="b">
        <f aca="false">AND(Inputs!$C$21=1,O172/Inputs!$C$10&lt;=Inputs!$C$22,Inputs!$G$14&lt;Inputs!$C$23,W172&lt;1)</f>
        <v>0</v>
      </c>
      <c r="Z172" s="61" t="b">
        <f aca="false">OR(AND(Inputs!$G$15=1,H172/Inputs!$C$17&lt;=Inputs!$C$24),AND(Inputs!$G$15=2,C172&gt;=Inputs!$G$16))</f>
        <v>0</v>
      </c>
      <c r="AA172" s="61" t="b">
        <f aca="false">OR(AA171,Z172)</f>
        <v>0</v>
      </c>
      <c r="AB172" s="61" t="b">
        <f aca="false">AND(Z172,NOT(AA171),D172,O172&gt;0)</f>
        <v>0</v>
      </c>
      <c r="AC172" s="63" t="n">
        <f aca="false">IF(AND(Y172,NOT(E172),O172+P172&gt;0),O172/(O172+P172),1)</f>
        <v>1</v>
      </c>
      <c r="AD172" s="64" t="n">
        <f aca="false">IF(AB172,O172,IF(D172,MIN(O172,IF(E172,AC172*X172+BF171,BE172*Inputs!$G$20)),0))</f>
        <v>0</v>
      </c>
      <c r="AE172" s="64" t="n">
        <f aca="false">IF(AB172,P172,IF(D172,MAX(MIN(P172,X172-MIN(O172,AC172*X172)),0),0))</f>
        <v>0</v>
      </c>
      <c r="AF172" s="64" t="n">
        <f aca="false">IF(OR(AB172,E172),0,MAX(H172-I172-K172-L172,0))</f>
        <v>0</v>
      </c>
      <c r="AG172" s="64" t="n">
        <f aca="false">IF(E172,0,O172-AD172)</f>
        <v>0</v>
      </c>
      <c r="AH172" s="64" t="n">
        <f aca="false">IF(OR(AB172,E172),0,P172-AE172)</f>
        <v>0</v>
      </c>
      <c r="AI172" s="64" t="n">
        <f aca="false">IF(D172,R172+AD172,0)</f>
        <v>0</v>
      </c>
      <c r="AJ172" s="65" t="n">
        <f aca="false">(C172-Inputs!$G$6)/365</f>
        <v>40.4219178082192</v>
      </c>
      <c r="AK172" s="29" t="n">
        <f aca="false">AG172/Inputs!$C$10</f>
        <v>0</v>
      </c>
      <c r="AL172" s="5"/>
      <c r="AM172" s="66" t="n">
        <f aca="false">F172</f>
        <v>0.255555555555556</v>
      </c>
      <c r="AN172" s="5"/>
      <c r="AO172" s="5" t="n">
        <f aca="false">AO171+LN(1+($G172+AO$7)*$AM172)</f>
        <v>1.02623951538576</v>
      </c>
      <c r="AP172" s="5" t="n">
        <f aca="false">AP171+LN(1+($G172+AP$7)*$AM172)</f>
        <v>1.03031188242148</v>
      </c>
      <c r="AQ172" s="5" t="n">
        <f aca="false">AQ171+LN(1+($G172+AQ$7)*$AM172)</f>
        <v>1.16112134136838</v>
      </c>
      <c r="AR172" s="5" t="n">
        <f aca="false">AR171+LN(1+($G172+AR$7)*$AM172)</f>
        <v>1.16519031462414</v>
      </c>
      <c r="AS172" s="5" t="n">
        <f aca="false">AS171+LN(1+($G172+AS$7)*$AM172)</f>
        <v>1.16260041467188</v>
      </c>
      <c r="AT172" s="5" t="n">
        <f aca="false">AT171+LN(1+($G172+AT$7)*$AM172)</f>
        <v>1.16666935072818</v>
      </c>
      <c r="AU172" s="5" t="n">
        <f aca="false">AU171+LN(1+($G172+AU$7)*$AM172)</f>
        <v>1.16260009887566</v>
      </c>
      <c r="AV172" s="5" t="n">
        <f aca="false">AV171+LN(1+($G172+AV$7)*$AM172)</f>
        <v>1.16666903493991</v>
      </c>
      <c r="AW172" s="5" t="n">
        <f aca="false">AW171+LN(1+($G172+AW$7)*$AM172)</f>
        <v>1.16260009898157</v>
      </c>
      <c r="AX172" s="5" t="n">
        <f aca="false">AX171+LN(1+($G172+AX$7)*$AM172)</f>
        <v>1.16666903504582</v>
      </c>
      <c r="AY172" s="5" t="n">
        <f aca="false">AY171+LN(1+($G172+AY$7)*$AM172)</f>
        <v>1.16260009898155</v>
      </c>
      <c r="AZ172" s="5" t="n">
        <f aca="false">AZ171+LN(1+($G172+AZ$7)*$AM172)</f>
        <v>1.16666903504579</v>
      </c>
      <c r="BA172" s="5" t="n">
        <f aca="false">BA171+LN(1+($G172+BA$7)*$AM172)</f>
        <v>1.16260009898155</v>
      </c>
      <c r="BB172" s="5" t="n">
        <f aca="false">BB171+LN(1+($G172+BB$7)*$AM172)</f>
        <v>1.16666903504579</v>
      </c>
      <c r="BC172" s="5" t="n">
        <f aca="false">BC171+LN(1+($G172+BC$7)*$AM172)</f>
        <v>1.16260009898155</v>
      </c>
      <c r="BD172" s="5" t="n">
        <f aca="false">BD171+LN(1+($G172+BD$7)*$AM172)</f>
        <v>1.16666903504579</v>
      </c>
      <c r="BE172" s="5" t="n">
        <f aca="false">IF(AB172,O172,IF(D172,MIN(O172,AC172*X172+BF171),0))</f>
        <v>0</v>
      </c>
      <c r="BF172" s="5" t="n">
        <f aca="false">IF(OR(AB172,E172),0,BE172-AD172)</f>
        <v>0</v>
      </c>
      <c r="BG172" s="5" t="n">
        <f aca="false">BG171+LN(1+($G172+BG$7)*$AM172)</f>
        <v>1.12190510883101</v>
      </c>
      <c r="BH172" s="5"/>
      <c r="BI172" s="5" t="n">
        <f aca="false">BI171+LN(1+($G172+BI$7)*$AM172)</f>
        <v>1.20328485520853</v>
      </c>
      <c r="BJ172" s="5"/>
      <c r="BK172" s="62" t="n">
        <f aca="false">C172</f>
        <v>61043</v>
      </c>
      <c r="BL172" s="67" t="n">
        <f aca="false">AI172</f>
        <v>0</v>
      </c>
    </row>
    <row r="173" customFormat="false" ht="15" hidden="false" customHeight="true" outlineLevel="0" collapsed="false">
      <c r="A173" s="3" t="n">
        <v>163</v>
      </c>
      <c r="B173" s="38" t="n">
        <f aca="false">EDATE(Inputs!$C$8,3*(A173-1))</f>
        <v>61132</v>
      </c>
      <c r="C173" s="38" t="n">
        <f aca="false">WORKDAY(B173-1,1)</f>
        <v>61133</v>
      </c>
      <c r="D173" s="61" t="b">
        <f aca="false">C173&lt;=Inputs!$C$9</f>
        <v>0</v>
      </c>
      <c r="E173" s="61" t="b">
        <f aca="false">AND(D173,NOT(D174))</f>
        <v>0</v>
      </c>
      <c r="F173" s="63" t="n">
        <f aca="false">(C173-C172)/360</f>
        <v>0.25</v>
      </c>
      <c r="G173" s="57" t="n">
        <f aca="false">Curve!D166</f>
        <v>0.02252</v>
      </c>
      <c r="H173" s="64" t="n">
        <f aca="false">AF172</f>
        <v>0</v>
      </c>
      <c r="I173" s="64" t="n">
        <f aca="false">IF(D173,H173*Inputs!$G$22,0)</f>
        <v>0</v>
      </c>
      <c r="J173" s="32" t="n">
        <f aca="false">MAX(Inputs!$G$24-(A173-1),1)</f>
        <v>1</v>
      </c>
      <c r="K173" s="64" t="n">
        <f aca="false">IF(D173,MIN(H173-I173,IF(J173&gt;1,(H173-I173)*Inputs!$G$23/((1+Inputs!$G$23)^J173-1),H173-I173)),0)</f>
        <v>0</v>
      </c>
      <c r="L173" s="64" t="n">
        <f aca="false">IF(D173,(H173-I173-K173)*Inputs!$G$21,0)</f>
        <v>0</v>
      </c>
      <c r="M173" s="64" t="n">
        <f aca="false">IF(A173&gt;Inputs!$G$13,(1-Inputs!$G$12)*INDEX($I$11:$I$190,A173-Inputs!$G$13),0)</f>
        <v>0</v>
      </c>
      <c r="N173" s="64" t="n">
        <f aca="false">IF(D173,(H173-I173)*Inputs!$G$23,0)</f>
        <v>0</v>
      </c>
      <c r="O173" s="64" t="n">
        <f aca="false">AG172</f>
        <v>0</v>
      </c>
      <c r="P173" s="64" t="n">
        <f aca="false">AH172</f>
        <v>0</v>
      </c>
      <c r="Q173" s="64" t="n">
        <f aca="false">IF(AND(D173,O173+P173&gt;0),Inputs!$C$25+Inputs!$C$26*H173/4,0)</f>
        <v>0</v>
      </c>
      <c r="R173" s="64" t="n">
        <f aca="false">O173*IF(Inputs!$G$19="",G173+Inputs!$C$13,MAX(Inputs!$G$19,G173+Inputs!$C$13))*F173</f>
        <v>0</v>
      </c>
      <c r="S173" s="64" t="n">
        <f aca="false">P173*(G173+Inputs!$C$14)*F173</f>
        <v>0</v>
      </c>
      <c r="T173" s="64" t="n">
        <f aca="false">N173+M173-Q173-R173-S173</f>
        <v>0</v>
      </c>
      <c r="U173" s="64" t="n">
        <f aca="false">W172</f>
        <v>260422.420657149</v>
      </c>
      <c r="V173" s="64" t="n">
        <f aca="false">MIN(U173+I173,MAX(T173,0))</f>
        <v>0</v>
      </c>
      <c r="W173" s="64" t="n">
        <f aca="false">U173+I173-V173</f>
        <v>260422.420657149</v>
      </c>
      <c r="X173" s="64" t="n">
        <f aca="false">K173+L173+V173+IF(E173,H173-I173-K173-L173,0)</f>
        <v>0</v>
      </c>
      <c r="Y173" s="61" t="b">
        <f aca="false">AND(Inputs!$C$21=1,O173/Inputs!$C$10&lt;=Inputs!$C$22,Inputs!$G$14&lt;Inputs!$C$23,W173&lt;1)</f>
        <v>0</v>
      </c>
      <c r="Z173" s="61" t="b">
        <f aca="false">OR(AND(Inputs!$G$15=1,H173/Inputs!$C$17&lt;=Inputs!$C$24),AND(Inputs!$G$15=2,C173&gt;=Inputs!$G$16))</f>
        <v>0</v>
      </c>
      <c r="AA173" s="61" t="b">
        <f aca="false">OR(AA172,Z173)</f>
        <v>0</v>
      </c>
      <c r="AB173" s="61" t="b">
        <f aca="false">AND(Z173,NOT(AA172),D173,O173&gt;0)</f>
        <v>0</v>
      </c>
      <c r="AC173" s="63" t="n">
        <f aca="false">IF(AND(Y173,NOT(E173),O173+P173&gt;0),O173/(O173+P173),1)</f>
        <v>1</v>
      </c>
      <c r="AD173" s="64" t="n">
        <f aca="false">IF(AB173,O173,IF(D173,MIN(O173,IF(E173,AC173*X173+BF172,BE173*Inputs!$G$20)),0))</f>
        <v>0</v>
      </c>
      <c r="AE173" s="64" t="n">
        <f aca="false">IF(AB173,P173,IF(D173,MAX(MIN(P173,X173-MIN(O173,AC173*X173)),0),0))</f>
        <v>0</v>
      </c>
      <c r="AF173" s="64" t="n">
        <f aca="false">IF(OR(AB173,E173),0,MAX(H173-I173-K173-L173,0))</f>
        <v>0</v>
      </c>
      <c r="AG173" s="64" t="n">
        <f aca="false">IF(E173,0,O173-AD173)</f>
        <v>0</v>
      </c>
      <c r="AH173" s="64" t="n">
        <f aca="false">IF(OR(AB173,E173),0,P173-AE173)</f>
        <v>0</v>
      </c>
      <c r="AI173" s="64" t="n">
        <f aca="false">IF(D173,R173+AD173,0)</f>
        <v>0</v>
      </c>
      <c r="AJ173" s="65" t="n">
        <f aca="false">(C173-Inputs!$G$6)/365</f>
        <v>40.6684931506849</v>
      </c>
      <c r="AK173" s="29" t="n">
        <f aca="false">AG173/Inputs!$C$10</f>
        <v>0</v>
      </c>
      <c r="AL173" s="5"/>
      <c r="AM173" s="66" t="n">
        <f aca="false">F173</f>
        <v>0.25</v>
      </c>
      <c r="AN173" s="5"/>
      <c r="AO173" s="5" t="n">
        <f aca="false">AO172+LN(1+($G173+AO$7)*$AM173)</f>
        <v>1.03249987835657</v>
      </c>
      <c r="AP173" s="5" t="n">
        <f aca="false">AP172+LN(1+($G173+AP$7)*$AM173)</f>
        <v>1.0365970890635</v>
      </c>
      <c r="AQ173" s="5" t="n">
        <f aca="false">AQ172+LN(1+($G173+AQ$7)*$AM173)</f>
        <v>1.16820456175085</v>
      </c>
      <c r="AR173" s="5" t="n">
        <f aca="false">AR172+LN(1+($G173+AR$7)*$AM173)</f>
        <v>1.17229835824367</v>
      </c>
      <c r="AS173" s="5" t="n">
        <f aca="false">AS172+LN(1+($G173+AS$7)*$AM173)</f>
        <v>1.16969265830938</v>
      </c>
      <c r="AT173" s="5" t="n">
        <f aca="false">AT172+LN(1+($G173+AT$7)*$AM173)</f>
        <v>1.17378641737876</v>
      </c>
      <c r="AU173" s="5" t="n">
        <f aca="false">AU172+LN(1+($G173+AU$7)*$AM173)</f>
        <v>1.16969234058661</v>
      </c>
      <c r="AV173" s="5" t="n">
        <f aca="false">AV172+LN(1+($G173+AV$7)*$AM173)</f>
        <v>1.17378609966398</v>
      </c>
      <c r="AW173" s="5" t="n">
        <f aca="false">AW172+LN(1+($G173+AW$7)*$AM173)</f>
        <v>1.16969234069317</v>
      </c>
      <c r="AX173" s="5" t="n">
        <f aca="false">AX172+LN(1+($G173+AX$7)*$AM173)</f>
        <v>1.17378609977055</v>
      </c>
      <c r="AY173" s="5" t="n">
        <f aca="false">AY172+LN(1+($G173+AY$7)*$AM173)</f>
        <v>1.16969234069315</v>
      </c>
      <c r="AZ173" s="5" t="n">
        <f aca="false">AZ172+LN(1+($G173+AZ$7)*$AM173)</f>
        <v>1.17378609977051</v>
      </c>
      <c r="BA173" s="5" t="n">
        <f aca="false">BA172+LN(1+($G173+BA$7)*$AM173)</f>
        <v>1.16969234069315</v>
      </c>
      <c r="BB173" s="5" t="n">
        <f aca="false">BB172+LN(1+($G173+BB$7)*$AM173)</f>
        <v>1.17378609977051</v>
      </c>
      <c r="BC173" s="5" t="n">
        <f aca="false">BC172+LN(1+($G173+BC$7)*$AM173)</f>
        <v>1.16969234069315</v>
      </c>
      <c r="BD173" s="5" t="n">
        <f aca="false">BD172+LN(1+($G173+BD$7)*$AM173)</f>
        <v>1.17378609977051</v>
      </c>
      <c r="BE173" s="5" t="n">
        <f aca="false">IF(AB173,O173,IF(D173,MIN(O173,AC173*X173+BF172),0))</f>
        <v>0</v>
      </c>
      <c r="BF173" s="5" t="n">
        <f aca="false">IF(OR(AB173,E173),0,BE173-AD173)</f>
        <v>0</v>
      </c>
      <c r="BG173" s="5" t="n">
        <f aca="false">BG172+LN(1+($G173+BG$7)*$AM173)</f>
        <v>1.12874908651543</v>
      </c>
      <c r="BH173" s="5"/>
      <c r="BI173" s="5" t="n">
        <f aca="false">BI172+LN(1+($G173+BI$7)*$AM173)</f>
        <v>1.21062529932758</v>
      </c>
      <c r="BJ173" s="5"/>
      <c r="BK173" s="62" t="n">
        <f aca="false">C173</f>
        <v>61133</v>
      </c>
      <c r="BL173" s="67" t="n">
        <f aca="false">AI173</f>
        <v>0</v>
      </c>
    </row>
    <row r="174" customFormat="false" ht="15" hidden="false" customHeight="true" outlineLevel="0" collapsed="false">
      <c r="A174" s="3" t="n">
        <v>164</v>
      </c>
      <c r="B174" s="38" t="n">
        <f aca="false">EDATE(Inputs!$C$8,3*(A174-1))</f>
        <v>61224</v>
      </c>
      <c r="C174" s="38" t="n">
        <f aca="false">WORKDAY(B174-1,1)</f>
        <v>61224</v>
      </c>
      <c r="D174" s="61" t="b">
        <f aca="false">C174&lt;=Inputs!$C$9</f>
        <v>0</v>
      </c>
      <c r="E174" s="61" t="b">
        <f aca="false">AND(D174,NOT(D175))</f>
        <v>0</v>
      </c>
      <c r="F174" s="63" t="n">
        <f aca="false">(C174-C173)/360</f>
        <v>0.252777777777778</v>
      </c>
      <c r="G174" s="57" t="n">
        <f aca="false">Curve!D167</f>
        <v>0.02252</v>
      </c>
      <c r="H174" s="64" t="n">
        <f aca="false">AF173</f>
        <v>0</v>
      </c>
      <c r="I174" s="64" t="n">
        <f aca="false">IF(D174,H174*Inputs!$G$22,0)</f>
        <v>0</v>
      </c>
      <c r="J174" s="32" t="n">
        <f aca="false">MAX(Inputs!$G$24-(A174-1),1)</f>
        <v>1</v>
      </c>
      <c r="K174" s="64" t="n">
        <f aca="false">IF(D174,MIN(H174-I174,IF(J174&gt;1,(H174-I174)*Inputs!$G$23/((1+Inputs!$G$23)^J174-1),H174-I174)),0)</f>
        <v>0</v>
      </c>
      <c r="L174" s="64" t="n">
        <f aca="false">IF(D174,(H174-I174-K174)*Inputs!$G$21,0)</f>
        <v>0</v>
      </c>
      <c r="M174" s="64" t="n">
        <f aca="false">IF(A174&gt;Inputs!$G$13,(1-Inputs!$G$12)*INDEX($I$11:$I$190,A174-Inputs!$G$13),0)</f>
        <v>0</v>
      </c>
      <c r="N174" s="64" t="n">
        <f aca="false">IF(D174,(H174-I174)*Inputs!$G$23,0)</f>
        <v>0</v>
      </c>
      <c r="O174" s="64" t="n">
        <f aca="false">AG173</f>
        <v>0</v>
      </c>
      <c r="P174" s="64" t="n">
        <f aca="false">AH173</f>
        <v>0</v>
      </c>
      <c r="Q174" s="64" t="n">
        <f aca="false">IF(AND(D174,O174+P174&gt;0),Inputs!$C$25+Inputs!$C$26*H174/4,0)</f>
        <v>0</v>
      </c>
      <c r="R174" s="64" t="n">
        <f aca="false">O174*IF(Inputs!$G$19="",G174+Inputs!$C$13,MAX(Inputs!$G$19,G174+Inputs!$C$13))*F174</f>
        <v>0</v>
      </c>
      <c r="S174" s="64" t="n">
        <f aca="false">P174*(G174+Inputs!$C$14)*F174</f>
        <v>0</v>
      </c>
      <c r="T174" s="64" t="n">
        <f aca="false">N174+M174-Q174-R174-S174</f>
        <v>0</v>
      </c>
      <c r="U174" s="64" t="n">
        <f aca="false">W173</f>
        <v>260422.420657149</v>
      </c>
      <c r="V174" s="64" t="n">
        <f aca="false">MIN(U174+I174,MAX(T174,0))</f>
        <v>0</v>
      </c>
      <c r="W174" s="64" t="n">
        <f aca="false">U174+I174-V174</f>
        <v>260422.420657149</v>
      </c>
      <c r="X174" s="64" t="n">
        <f aca="false">K174+L174+V174+IF(E174,H174-I174-K174-L174,0)</f>
        <v>0</v>
      </c>
      <c r="Y174" s="61" t="b">
        <f aca="false">AND(Inputs!$C$21=1,O174/Inputs!$C$10&lt;=Inputs!$C$22,Inputs!$G$14&lt;Inputs!$C$23,W174&lt;1)</f>
        <v>0</v>
      </c>
      <c r="Z174" s="61" t="b">
        <f aca="false">OR(AND(Inputs!$G$15=1,H174/Inputs!$C$17&lt;=Inputs!$C$24),AND(Inputs!$G$15=2,C174&gt;=Inputs!$G$16))</f>
        <v>0</v>
      </c>
      <c r="AA174" s="61" t="b">
        <f aca="false">OR(AA173,Z174)</f>
        <v>0</v>
      </c>
      <c r="AB174" s="61" t="b">
        <f aca="false">AND(Z174,NOT(AA173),D174,O174&gt;0)</f>
        <v>0</v>
      </c>
      <c r="AC174" s="63" t="n">
        <f aca="false">IF(AND(Y174,NOT(E174),O174+P174&gt;0),O174/(O174+P174),1)</f>
        <v>1</v>
      </c>
      <c r="AD174" s="64" t="n">
        <f aca="false">IF(AB174,O174,IF(D174,MIN(O174,IF(E174,AC174*X174+BF173,BE174*Inputs!$G$20)),0))</f>
        <v>0</v>
      </c>
      <c r="AE174" s="64" t="n">
        <f aca="false">IF(AB174,P174,IF(D174,MAX(MIN(P174,X174-MIN(O174,AC174*X174)),0),0))</f>
        <v>0</v>
      </c>
      <c r="AF174" s="64" t="n">
        <f aca="false">IF(OR(AB174,E174),0,MAX(H174-I174-K174-L174,0))</f>
        <v>0</v>
      </c>
      <c r="AG174" s="64" t="n">
        <f aca="false">IF(E174,0,O174-AD174)</f>
        <v>0</v>
      </c>
      <c r="AH174" s="64" t="n">
        <f aca="false">IF(OR(AB174,E174),0,P174-AE174)</f>
        <v>0</v>
      </c>
      <c r="AI174" s="64" t="n">
        <f aca="false">IF(D174,R174+AD174,0)</f>
        <v>0</v>
      </c>
      <c r="AJ174" s="65" t="n">
        <f aca="false">(C174-Inputs!$G$6)/365</f>
        <v>40.9178082191781</v>
      </c>
      <c r="AK174" s="29" t="n">
        <f aca="false">AG174/Inputs!$C$10</f>
        <v>0</v>
      </c>
      <c r="AL174" s="5"/>
      <c r="AM174" s="66" t="n">
        <f aca="false">F174</f>
        <v>0.252777777777778</v>
      </c>
      <c r="AN174" s="5"/>
      <c r="AO174" s="5" t="n">
        <f aca="false">AO173+LN(1+($G174+AO$7)*$AM174)</f>
        <v>1.0388295812314</v>
      </c>
      <c r="AP174" s="5" t="n">
        <f aca="false">AP173+LN(1+($G174+AP$7)*$AM174)</f>
        <v>1.04295190990513</v>
      </c>
      <c r="AQ174" s="5" t="n">
        <f aca="false">AQ173+LN(1+($G174+AQ$7)*$AM174)</f>
        <v>1.17536620343053</v>
      </c>
      <c r="AR174" s="5" t="n">
        <f aca="false">AR173+LN(1+($G174+AR$7)*$AM174)</f>
        <v>1.1794850970025</v>
      </c>
      <c r="AS174" s="5" t="n">
        <f aca="false">AS173+LN(1+($G174+AS$7)*$AM174)</f>
        <v>1.17686342278658</v>
      </c>
      <c r="AT174" s="5" t="n">
        <f aca="false">AT173+LN(1+($G174+AT$7)*$AM174)</f>
        <v>1.18098227870617</v>
      </c>
      <c r="AU174" s="5" t="n">
        <f aca="false">AU173+LN(1+($G174+AU$7)*$AM174)</f>
        <v>1.17686310311601</v>
      </c>
      <c r="AV174" s="5" t="n">
        <f aca="false">AV173+LN(1+($G174+AV$7)*$AM174)</f>
        <v>1.18098195904363</v>
      </c>
      <c r="AW174" s="5" t="n">
        <f aca="false">AW173+LN(1+($G174+AW$7)*$AM174)</f>
        <v>1.17686310322322</v>
      </c>
      <c r="AX174" s="5" t="n">
        <f aca="false">AX173+LN(1+($G174+AX$7)*$AM174)</f>
        <v>1.18098195915085</v>
      </c>
      <c r="AY174" s="5" t="n">
        <f aca="false">AY173+LN(1+($G174+AY$7)*$AM174)</f>
        <v>1.1768631032232</v>
      </c>
      <c r="AZ174" s="5" t="n">
        <f aca="false">AZ173+LN(1+($G174+AZ$7)*$AM174)</f>
        <v>1.18098195915081</v>
      </c>
      <c r="BA174" s="5" t="n">
        <f aca="false">BA173+LN(1+($G174+BA$7)*$AM174)</f>
        <v>1.1768631032232</v>
      </c>
      <c r="BB174" s="5" t="n">
        <f aca="false">BB173+LN(1+($G174+BB$7)*$AM174)</f>
        <v>1.18098195915081</v>
      </c>
      <c r="BC174" s="5" t="n">
        <f aca="false">BC173+LN(1+($G174+BC$7)*$AM174)</f>
        <v>1.1768631032232</v>
      </c>
      <c r="BD174" s="5" t="n">
        <f aca="false">BD173+LN(1+($G174+BD$7)*$AM174)</f>
        <v>1.18098195915081</v>
      </c>
      <c r="BE174" s="5" t="n">
        <f aca="false">IF(AB174,O174,IF(D174,MIN(O174,AC174*X174+BF173),0))</f>
        <v>0</v>
      </c>
      <c r="BF174" s="5" t="n">
        <f aca="false">IF(OR(AB174,E174),0,BE174-AD174)</f>
        <v>0</v>
      </c>
      <c r="BG174" s="5" t="n">
        <f aca="false">BG173+LN(1+($G174+BG$7)*$AM174)</f>
        <v>1.13566884589507</v>
      </c>
      <c r="BH174" s="5"/>
      <c r="BI174" s="5" t="n">
        <f aca="false">BI173+LN(1+($G174+BI$7)*$AM174)</f>
        <v>1.21804700202126</v>
      </c>
      <c r="BJ174" s="5"/>
      <c r="BK174" s="62" t="n">
        <f aca="false">C174</f>
        <v>61224</v>
      </c>
      <c r="BL174" s="67" t="n">
        <f aca="false">AI174</f>
        <v>0</v>
      </c>
    </row>
    <row r="175" customFormat="false" ht="15" hidden="false" customHeight="true" outlineLevel="0" collapsed="false">
      <c r="A175" s="3" t="n">
        <v>165</v>
      </c>
      <c r="B175" s="38" t="n">
        <f aca="false">EDATE(Inputs!$C$8,3*(A175-1))</f>
        <v>61316</v>
      </c>
      <c r="C175" s="38" t="n">
        <f aca="false">WORKDAY(B175-1,1)</f>
        <v>61316</v>
      </c>
      <c r="D175" s="61" t="b">
        <f aca="false">C175&lt;=Inputs!$C$9</f>
        <v>0</v>
      </c>
      <c r="E175" s="61" t="b">
        <f aca="false">AND(D175,NOT(D176))</f>
        <v>0</v>
      </c>
      <c r="F175" s="63" t="n">
        <f aca="false">(C175-C174)/360</f>
        <v>0.255555555555556</v>
      </c>
      <c r="G175" s="57" t="n">
        <f aca="false">Curve!D168</f>
        <v>0.02252</v>
      </c>
      <c r="H175" s="64" t="n">
        <f aca="false">AF174</f>
        <v>0</v>
      </c>
      <c r="I175" s="64" t="n">
        <f aca="false">IF(D175,H175*Inputs!$G$22,0)</f>
        <v>0</v>
      </c>
      <c r="J175" s="32" t="n">
        <f aca="false">MAX(Inputs!$G$24-(A175-1),1)</f>
        <v>1</v>
      </c>
      <c r="K175" s="64" t="n">
        <f aca="false">IF(D175,MIN(H175-I175,IF(J175&gt;1,(H175-I175)*Inputs!$G$23/((1+Inputs!$G$23)^J175-1),H175-I175)),0)</f>
        <v>0</v>
      </c>
      <c r="L175" s="64" t="n">
        <f aca="false">IF(D175,(H175-I175-K175)*Inputs!$G$21,0)</f>
        <v>0</v>
      </c>
      <c r="M175" s="64" t="n">
        <f aca="false">IF(A175&gt;Inputs!$G$13,(1-Inputs!$G$12)*INDEX($I$11:$I$190,A175-Inputs!$G$13),0)</f>
        <v>0</v>
      </c>
      <c r="N175" s="64" t="n">
        <f aca="false">IF(D175,(H175-I175)*Inputs!$G$23,0)</f>
        <v>0</v>
      </c>
      <c r="O175" s="64" t="n">
        <f aca="false">AG174</f>
        <v>0</v>
      </c>
      <c r="P175" s="64" t="n">
        <f aca="false">AH174</f>
        <v>0</v>
      </c>
      <c r="Q175" s="64" t="n">
        <f aca="false">IF(AND(D175,O175+P175&gt;0),Inputs!$C$25+Inputs!$C$26*H175/4,0)</f>
        <v>0</v>
      </c>
      <c r="R175" s="64" t="n">
        <f aca="false">O175*IF(Inputs!$G$19="",G175+Inputs!$C$13,MAX(Inputs!$G$19,G175+Inputs!$C$13))*F175</f>
        <v>0</v>
      </c>
      <c r="S175" s="64" t="n">
        <f aca="false">P175*(G175+Inputs!$C$14)*F175</f>
        <v>0</v>
      </c>
      <c r="T175" s="64" t="n">
        <f aca="false">N175+M175-Q175-R175-S175</f>
        <v>0</v>
      </c>
      <c r="U175" s="64" t="n">
        <f aca="false">W174</f>
        <v>260422.420657149</v>
      </c>
      <c r="V175" s="64" t="n">
        <f aca="false">MIN(U175+I175,MAX(T175,0))</f>
        <v>0</v>
      </c>
      <c r="W175" s="64" t="n">
        <f aca="false">U175+I175-V175</f>
        <v>260422.420657149</v>
      </c>
      <c r="X175" s="64" t="n">
        <f aca="false">K175+L175+V175+IF(E175,H175-I175-K175-L175,0)</f>
        <v>0</v>
      </c>
      <c r="Y175" s="61" t="b">
        <f aca="false">AND(Inputs!$C$21=1,O175/Inputs!$C$10&lt;=Inputs!$C$22,Inputs!$G$14&lt;Inputs!$C$23,W175&lt;1)</f>
        <v>0</v>
      </c>
      <c r="Z175" s="61" t="b">
        <f aca="false">OR(AND(Inputs!$G$15=1,H175/Inputs!$C$17&lt;=Inputs!$C$24),AND(Inputs!$G$15=2,C175&gt;=Inputs!$G$16))</f>
        <v>0</v>
      </c>
      <c r="AA175" s="61" t="b">
        <f aca="false">OR(AA174,Z175)</f>
        <v>0</v>
      </c>
      <c r="AB175" s="61" t="b">
        <f aca="false">AND(Z175,NOT(AA174),D175,O175&gt;0)</f>
        <v>0</v>
      </c>
      <c r="AC175" s="63" t="n">
        <f aca="false">IF(AND(Y175,NOT(E175),O175+P175&gt;0),O175/(O175+P175),1)</f>
        <v>1</v>
      </c>
      <c r="AD175" s="64" t="n">
        <f aca="false">IF(AB175,O175,IF(D175,MIN(O175,IF(E175,AC175*X175+BF174,BE175*Inputs!$G$20)),0))</f>
        <v>0</v>
      </c>
      <c r="AE175" s="64" t="n">
        <f aca="false">IF(AB175,P175,IF(D175,MAX(MIN(P175,X175-MIN(O175,AC175*X175)),0),0))</f>
        <v>0</v>
      </c>
      <c r="AF175" s="64" t="n">
        <f aca="false">IF(OR(AB175,E175),0,MAX(H175-I175-K175-L175,0))</f>
        <v>0</v>
      </c>
      <c r="AG175" s="64" t="n">
        <f aca="false">IF(E175,0,O175-AD175)</f>
        <v>0</v>
      </c>
      <c r="AH175" s="64" t="n">
        <f aca="false">IF(OR(AB175,E175),0,P175-AE175)</f>
        <v>0</v>
      </c>
      <c r="AI175" s="64" t="n">
        <f aca="false">IF(D175,R175+AD175,0)</f>
        <v>0</v>
      </c>
      <c r="AJ175" s="65" t="n">
        <f aca="false">(C175-Inputs!$G$6)/365</f>
        <v>41.1698630136986</v>
      </c>
      <c r="AK175" s="29" t="n">
        <f aca="false">AG175/Inputs!$C$10</f>
        <v>0</v>
      </c>
      <c r="AL175" s="5"/>
      <c r="AM175" s="66" t="n">
        <f aca="false">F175</f>
        <v>0.255555555555556</v>
      </c>
      <c r="AN175" s="5"/>
      <c r="AO175" s="5" t="n">
        <f aca="false">AO174+LN(1+($G175+AO$7)*$AM175)</f>
        <v>1.04522861920256</v>
      </c>
      <c r="AP175" s="5" t="n">
        <f aca="false">AP174+LN(1+($G175+AP$7)*$AM175)</f>
        <v>1.0493763401006</v>
      </c>
      <c r="AQ175" s="5" t="n">
        <f aca="false">AQ174+LN(1+($G175+AQ$7)*$AM175)</f>
        <v>1.18260626025801</v>
      </c>
      <c r="AR175" s="5" t="n">
        <f aca="false">AR174+LN(1+($G175+AR$7)*$AM175)</f>
        <v>1.1867505247082</v>
      </c>
      <c r="AS175" s="5" t="n">
        <f aca="false">AS174+LN(1+($G175+AS$7)*$AM175)</f>
        <v>1.18411270193845</v>
      </c>
      <c r="AT175" s="5" t="n">
        <f aca="false">AT174+LN(1+($G175+AT$7)*$AM175)</f>
        <v>1.18825692850227</v>
      </c>
      <c r="AU175" s="5" t="n">
        <f aca="false">AU174+LN(1+($G175+AU$7)*$AM175)</f>
        <v>1.18411238029882</v>
      </c>
      <c r="AV175" s="5" t="n">
        <f aca="false">AV174+LN(1+($G175+AV$7)*$AM175)</f>
        <v>1.18825660687073</v>
      </c>
      <c r="AW175" s="5" t="n">
        <f aca="false">AW174+LN(1+($G175+AW$7)*$AM175)</f>
        <v>1.18411238040669</v>
      </c>
      <c r="AX175" s="5" t="n">
        <f aca="false">AX174+LN(1+($G175+AX$7)*$AM175)</f>
        <v>1.18825660697861</v>
      </c>
      <c r="AY175" s="5" t="n">
        <f aca="false">AY174+LN(1+($G175+AY$7)*$AM175)</f>
        <v>1.18411238040667</v>
      </c>
      <c r="AZ175" s="5" t="n">
        <f aca="false">AZ174+LN(1+($G175+AZ$7)*$AM175)</f>
        <v>1.18825660697857</v>
      </c>
      <c r="BA175" s="5" t="n">
        <f aca="false">BA174+LN(1+($G175+BA$7)*$AM175)</f>
        <v>1.18411238040667</v>
      </c>
      <c r="BB175" s="5" t="n">
        <f aca="false">BB174+LN(1+($G175+BB$7)*$AM175)</f>
        <v>1.18825660697857</v>
      </c>
      <c r="BC175" s="5" t="n">
        <f aca="false">BC174+LN(1+($G175+BC$7)*$AM175)</f>
        <v>1.18411238040667</v>
      </c>
      <c r="BD175" s="5" t="n">
        <f aca="false">BD174+LN(1+($G175+BD$7)*$AM175)</f>
        <v>1.18825660697857</v>
      </c>
      <c r="BE175" s="5" t="n">
        <f aca="false">IF(AB175,O175,IF(D175,MIN(O175,AC175*X175+BF174),0))</f>
        <v>0</v>
      </c>
      <c r="BF175" s="5" t="n">
        <f aca="false">IF(OR(AB175,E175),0,BE175-AD175)</f>
        <v>0</v>
      </c>
      <c r="BG175" s="5" t="n">
        <f aca="false">BG174+LN(1+($G175+BG$7)*$AM175)</f>
        <v>1.14266438122752</v>
      </c>
      <c r="BH175" s="5"/>
      <c r="BI175" s="5" t="n">
        <f aca="false">BI174+LN(1+($G175+BI$7)*$AM175)</f>
        <v>1.22554995668716</v>
      </c>
      <c r="BJ175" s="5"/>
      <c r="BK175" s="62" t="n">
        <f aca="false">C175</f>
        <v>61316</v>
      </c>
      <c r="BL175" s="67" t="n">
        <f aca="false">AI175</f>
        <v>0</v>
      </c>
    </row>
    <row r="176" customFormat="false" ht="15" hidden="false" customHeight="true" outlineLevel="0" collapsed="false">
      <c r="A176" s="3" t="n">
        <v>166</v>
      </c>
      <c r="B176" s="38" t="n">
        <f aca="false">EDATE(Inputs!$C$8,3*(A176-1))</f>
        <v>61408</v>
      </c>
      <c r="C176" s="38" t="n">
        <f aca="false">WORKDAY(B176-1,1)</f>
        <v>61408</v>
      </c>
      <c r="D176" s="61" t="b">
        <f aca="false">C176&lt;=Inputs!$C$9</f>
        <v>0</v>
      </c>
      <c r="E176" s="61" t="b">
        <f aca="false">AND(D176,NOT(D177))</f>
        <v>0</v>
      </c>
      <c r="F176" s="63" t="n">
        <f aca="false">(C176-C175)/360</f>
        <v>0.255555555555556</v>
      </c>
      <c r="G176" s="57" t="n">
        <f aca="false">Curve!D169</f>
        <v>0.02252</v>
      </c>
      <c r="H176" s="64" t="n">
        <f aca="false">AF175</f>
        <v>0</v>
      </c>
      <c r="I176" s="64" t="n">
        <f aca="false">IF(D176,H176*Inputs!$G$22,0)</f>
        <v>0</v>
      </c>
      <c r="J176" s="32" t="n">
        <f aca="false">MAX(Inputs!$G$24-(A176-1),1)</f>
        <v>1</v>
      </c>
      <c r="K176" s="64" t="n">
        <f aca="false">IF(D176,MIN(H176-I176,IF(J176&gt;1,(H176-I176)*Inputs!$G$23/((1+Inputs!$G$23)^J176-1),H176-I176)),0)</f>
        <v>0</v>
      </c>
      <c r="L176" s="64" t="n">
        <f aca="false">IF(D176,(H176-I176-K176)*Inputs!$G$21,0)</f>
        <v>0</v>
      </c>
      <c r="M176" s="64" t="n">
        <f aca="false">IF(A176&gt;Inputs!$G$13,(1-Inputs!$G$12)*INDEX($I$11:$I$190,A176-Inputs!$G$13),0)</f>
        <v>0</v>
      </c>
      <c r="N176" s="64" t="n">
        <f aca="false">IF(D176,(H176-I176)*Inputs!$G$23,0)</f>
        <v>0</v>
      </c>
      <c r="O176" s="64" t="n">
        <f aca="false">AG175</f>
        <v>0</v>
      </c>
      <c r="P176" s="64" t="n">
        <f aca="false">AH175</f>
        <v>0</v>
      </c>
      <c r="Q176" s="64" t="n">
        <f aca="false">IF(AND(D176,O176+P176&gt;0),Inputs!$C$25+Inputs!$C$26*H176/4,0)</f>
        <v>0</v>
      </c>
      <c r="R176" s="64" t="n">
        <f aca="false">O176*IF(Inputs!$G$19="",G176+Inputs!$C$13,MAX(Inputs!$G$19,G176+Inputs!$C$13))*F176</f>
        <v>0</v>
      </c>
      <c r="S176" s="64" t="n">
        <f aca="false">P176*(G176+Inputs!$C$14)*F176</f>
        <v>0</v>
      </c>
      <c r="T176" s="64" t="n">
        <f aca="false">N176+M176-Q176-R176-S176</f>
        <v>0</v>
      </c>
      <c r="U176" s="64" t="n">
        <f aca="false">W175</f>
        <v>260422.420657149</v>
      </c>
      <c r="V176" s="64" t="n">
        <f aca="false">MIN(U176+I176,MAX(T176,0))</f>
        <v>0</v>
      </c>
      <c r="W176" s="64" t="n">
        <f aca="false">U176+I176-V176</f>
        <v>260422.420657149</v>
      </c>
      <c r="X176" s="64" t="n">
        <f aca="false">K176+L176+V176+IF(E176,H176-I176-K176-L176,0)</f>
        <v>0</v>
      </c>
      <c r="Y176" s="61" t="b">
        <f aca="false">AND(Inputs!$C$21=1,O176/Inputs!$C$10&lt;=Inputs!$C$22,Inputs!$G$14&lt;Inputs!$C$23,W176&lt;1)</f>
        <v>0</v>
      </c>
      <c r="Z176" s="61" t="b">
        <f aca="false">OR(AND(Inputs!$G$15=1,H176/Inputs!$C$17&lt;=Inputs!$C$24),AND(Inputs!$G$15=2,C176&gt;=Inputs!$G$16))</f>
        <v>0</v>
      </c>
      <c r="AA176" s="61" t="b">
        <f aca="false">OR(AA175,Z176)</f>
        <v>0</v>
      </c>
      <c r="AB176" s="61" t="b">
        <f aca="false">AND(Z176,NOT(AA175),D176,O176&gt;0)</f>
        <v>0</v>
      </c>
      <c r="AC176" s="63" t="n">
        <f aca="false">IF(AND(Y176,NOT(E176),O176+P176&gt;0),O176/(O176+P176),1)</f>
        <v>1</v>
      </c>
      <c r="AD176" s="64" t="n">
        <f aca="false">IF(AB176,O176,IF(D176,MIN(O176,IF(E176,AC176*X176+BF175,BE176*Inputs!$G$20)),0))</f>
        <v>0</v>
      </c>
      <c r="AE176" s="64" t="n">
        <f aca="false">IF(AB176,P176,IF(D176,MAX(MIN(P176,X176-MIN(O176,AC176*X176)),0),0))</f>
        <v>0</v>
      </c>
      <c r="AF176" s="64" t="n">
        <f aca="false">IF(OR(AB176,E176),0,MAX(H176-I176-K176-L176,0))</f>
        <v>0</v>
      </c>
      <c r="AG176" s="64" t="n">
        <f aca="false">IF(E176,0,O176-AD176)</f>
        <v>0</v>
      </c>
      <c r="AH176" s="64" t="n">
        <f aca="false">IF(OR(AB176,E176),0,P176-AE176)</f>
        <v>0</v>
      </c>
      <c r="AI176" s="64" t="n">
        <f aca="false">IF(D176,R176+AD176,0)</f>
        <v>0</v>
      </c>
      <c r="AJ176" s="65" t="n">
        <f aca="false">(C176-Inputs!$G$6)/365</f>
        <v>41.4219178082192</v>
      </c>
      <c r="AK176" s="29" t="n">
        <f aca="false">AG176/Inputs!$C$10</f>
        <v>0</v>
      </c>
      <c r="AL176" s="5"/>
      <c r="AM176" s="66" t="n">
        <f aca="false">F176</f>
        <v>0.255555555555556</v>
      </c>
      <c r="AN176" s="5"/>
      <c r="AO176" s="5" t="n">
        <f aca="false">AO175+LN(1+($G176+AO$7)*$AM176)</f>
        <v>1.05162765717372</v>
      </c>
      <c r="AP176" s="5" t="n">
        <f aca="false">AP175+LN(1+($G176+AP$7)*$AM176)</f>
        <v>1.05580077029606</v>
      </c>
      <c r="AQ176" s="5" t="n">
        <f aca="false">AQ175+LN(1+($G176+AQ$7)*$AM176)</f>
        <v>1.18984631708549</v>
      </c>
      <c r="AR176" s="5" t="n">
        <f aca="false">AR175+LN(1+($G176+AR$7)*$AM176)</f>
        <v>1.19401595241389</v>
      </c>
      <c r="AS176" s="5" t="n">
        <f aca="false">AS175+LN(1+($G176+AS$7)*$AM176)</f>
        <v>1.19136198109032</v>
      </c>
      <c r="AT176" s="5" t="n">
        <f aca="false">AT175+LN(1+($G176+AT$7)*$AM176)</f>
        <v>1.19553157829838</v>
      </c>
      <c r="AU176" s="5" t="n">
        <f aca="false">AU175+LN(1+($G176+AU$7)*$AM176)</f>
        <v>1.19136165748164</v>
      </c>
      <c r="AV176" s="5" t="n">
        <f aca="false">AV175+LN(1+($G176+AV$7)*$AM176)</f>
        <v>1.19553125469784</v>
      </c>
      <c r="AW176" s="5" t="n">
        <f aca="false">AW175+LN(1+($G176+AW$7)*$AM176)</f>
        <v>1.19136165759017</v>
      </c>
      <c r="AX176" s="5" t="n">
        <f aca="false">AX175+LN(1+($G176+AX$7)*$AM176)</f>
        <v>1.19553125480637</v>
      </c>
      <c r="AY176" s="5" t="n">
        <f aca="false">AY175+LN(1+($G176+AY$7)*$AM176)</f>
        <v>1.19136165759015</v>
      </c>
      <c r="AZ176" s="5" t="n">
        <f aca="false">AZ175+LN(1+($G176+AZ$7)*$AM176)</f>
        <v>1.19553125480634</v>
      </c>
      <c r="BA176" s="5" t="n">
        <f aca="false">BA175+LN(1+($G176+BA$7)*$AM176)</f>
        <v>1.19136165759015</v>
      </c>
      <c r="BB176" s="5" t="n">
        <f aca="false">BB175+LN(1+($G176+BB$7)*$AM176)</f>
        <v>1.19553125480634</v>
      </c>
      <c r="BC176" s="5" t="n">
        <f aca="false">BC175+LN(1+($G176+BC$7)*$AM176)</f>
        <v>1.19136165759015</v>
      </c>
      <c r="BD176" s="5" t="n">
        <f aca="false">BD175+LN(1+($G176+BD$7)*$AM176)</f>
        <v>1.19553125480634</v>
      </c>
      <c r="BE176" s="5" t="n">
        <f aca="false">IF(AB176,O176,IF(D176,MIN(O176,AC176*X176+BF175),0))</f>
        <v>0</v>
      </c>
      <c r="BF176" s="5" t="n">
        <f aca="false">IF(OR(AB176,E176),0,BE176-AD176)</f>
        <v>0</v>
      </c>
      <c r="BG176" s="5" t="n">
        <f aca="false">BG175+LN(1+($G176+BG$7)*$AM176)</f>
        <v>1.14965991655998</v>
      </c>
      <c r="BH176" s="5"/>
      <c r="BI176" s="5" t="n">
        <f aca="false">BI175+LN(1+($G176+BI$7)*$AM176)</f>
        <v>1.23305291135306</v>
      </c>
      <c r="BJ176" s="5"/>
      <c r="BK176" s="62" t="n">
        <f aca="false">C176</f>
        <v>61408</v>
      </c>
      <c r="BL176" s="67" t="n">
        <f aca="false">AI176</f>
        <v>0</v>
      </c>
    </row>
    <row r="177" customFormat="false" ht="15" hidden="false" customHeight="true" outlineLevel="0" collapsed="false">
      <c r="A177" s="3" t="n">
        <v>167</v>
      </c>
      <c r="B177" s="38" t="n">
        <f aca="false">EDATE(Inputs!$C$8,3*(A177-1))</f>
        <v>61498</v>
      </c>
      <c r="C177" s="38" t="n">
        <f aca="false">WORKDAY(B177-1,1)</f>
        <v>61498</v>
      </c>
      <c r="D177" s="61" t="b">
        <f aca="false">C177&lt;=Inputs!$C$9</f>
        <v>0</v>
      </c>
      <c r="E177" s="61" t="b">
        <f aca="false">AND(D177,NOT(D178))</f>
        <v>0</v>
      </c>
      <c r="F177" s="63" t="n">
        <f aca="false">(C177-C176)/360</f>
        <v>0.25</v>
      </c>
      <c r="G177" s="57" t="n">
        <f aca="false">Curve!D170</f>
        <v>0.02252</v>
      </c>
      <c r="H177" s="64" t="n">
        <f aca="false">AF176</f>
        <v>0</v>
      </c>
      <c r="I177" s="64" t="n">
        <f aca="false">IF(D177,H177*Inputs!$G$22,0)</f>
        <v>0</v>
      </c>
      <c r="J177" s="32" t="n">
        <f aca="false">MAX(Inputs!$G$24-(A177-1),1)</f>
        <v>1</v>
      </c>
      <c r="K177" s="64" t="n">
        <f aca="false">IF(D177,MIN(H177-I177,IF(J177&gt;1,(H177-I177)*Inputs!$G$23/((1+Inputs!$G$23)^J177-1),H177-I177)),0)</f>
        <v>0</v>
      </c>
      <c r="L177" s="64" t="n">
        <f aca="false">IF(D177,(H177-I177-K177)*Inputs!$G$21,0)</f>
        <v>0</v>
      </c>
      <c r="M177" s="64" t="n">
        <f aca="false">IF(A177&gt;Inputs!$G$13,(1-Inputs!$G$12)*INDEX($I$11:$I$190,A177-Inputs!$G$13),0)</f>
        <v>0</v>
      </c>
      <c r="N177" s="64" t="n">
        <f aca="false">IF(D177,(H177-I177)*Inputs!$G$23,0)</f>
        <v>0</v>
      </c>
      <c r="O177" s="64" t="n">
        <f aca="false">AG176</f>
        <v>0</v>
      </c>
      <c r="P177" s="64" t="n">
        <f aca="false">AH176</f>
        <v>0</v>
      </c>
      <c r="Q177" s="64" t="n">
        <f aca="false">IF(AND(D177,O177+P177&gt;0),Inputs!$C$25+Inputs!$C$26*H177/4,0)</f>
        <v>0</v>
      </c>
      <c r="R177" s="64" t="n">
        <f aca="false">O177*IF(Inputs!$G$19="",G177+Inputs!$C$13,MAX(Inputs!$G$19,G177+Inputs!$C$13))*F177</f>
        <v>0</v>
      </c>
      <c r="S177" s="64" t="n">
        <f aca="false">P177*(G177+Inputs!$C$14)*F177</f>
        <v>0</v>
      </c>
      <c r="T177" s="64" t="n">
        <f aca="false">N177+M177-Q177-R177-S177</f>
        <v>0</v>
      </c>
      <c r="U177" s="64" t="n">
        <f aca="false">W176</f>
        <v>260422.420657149</v>
      </c>
      <c r="V177" s="64" t="n">
        <f aca="false">MIN(U177+I177,MAX(T177,0))</f>
        <v>0</v>
      </c>
      <c r="W177" s="64" t="n">
        <f aca="false">U177+I177-V177</f>
        <v>260422.420657149</v>
      </c>
      <c r="X177" s="64" t="n">
        <f aca="false">K177+L177+V177+IF(E177,H177-I177-K177-L177,0)</f>
        <v>0</v>
      </c>
      <c r="Y177" s="61" t="b">
        <f aca="false">AND(Inputs!$C$21=1,O177/Inputs!$C$10&lt;=Inputs!$C$22,Inputs!$G$14&lt;Inputs!$C$23,W177&lt;1)</f>
        <v>0</v>
      </c>
      <c r="Z177" s="61" t="b">
        <f aca="false">OR(AND(Inputs!$G$15=1,H177/Inputs!$C$17&lt;=Inputs!$C$24),AND(Inputs!$G$15=2,C177&gt;=Inputs!$G$16))</f>
        <v>0</v>
      </c>
      <c r="AA177" s="61" t="b">
        <f aca="false">OR(AA176,Z177)</f>
        <v>0</v>
      </c>
      <c r="AB177" s="61" t="b">
        <f aca="false">AND(Z177,NOT(AA176),D177,O177&gt;0)</f>
        <v>0</v>
      </c>
      <c r="AC177" s="63" t="n">
        <f aca="false">IF(AND(Y177,NOT(E177),O177+P177&gt;0),O177/(O177+P177),1)</f>
        <v>1</v>
      </c>
      <c r="AD177" s="64" t="n">
        <f aca="false">IF(AB177,O177,IF(D177,MIN(O177,IF(E177,AC177*X177+BF176,BE177*Inputs!$G$20)),0))</f>
        <v>0</v>
      </c>
      <c r="AE177" s="64" t="n">
        <f aca="false">IF(AB177,P177,IF(D177,MAX(MIN(P177,X177-MIN(O177,AC177*X177)),0),0))</f>
        <v>0</v>
      </c>
      <c r="AF177" s="64" t="n">
        <f aca="false">IF(OR(AB177,E177),0,MAX(H177-I177-K177-L177,0))</f>
        <v>0</v>
      </c>
      <c r="AG177" s="64" t="n">
        <f aca="false">IF(E177,0,O177-AD177)</f>
        <v>0</v>
      </c>
      <c r="AH177" s="64" t="n">
        <f aca="false">IF(OR(AB177,E177),0,P177-AE177)</f>
        <v>0</v>
      </c>
      <c r="AI177" s="64" t="n">
        <f aca="false">IF(D177,R177+AD177,0)</f>
        <v>0</v>
      </c>
      <c r="AJ177" s="65" t="n">
        <f aca="false">(C177-Inputs!$G$6)/365</f>
        <v>41.6684931506849</v>
      </c>
      <c r="AK177" s="29" t="n">
        <f aca="false">AG177/Inputs!$C$10</f>
        <v>0</v>
      </c>
      <c r="AL177" s="5"/>
      <c r="AM177" s="66" t="n">
        <f aca="false">F177</f>
        <v>0.25</v>
      </c>
      <c r="AN177" s="5"/>
      <c r="AO177" s="5" t="n">
        <f aca="false">AO176+LN(1+($G177+AO$7)*$AM177)</f>
        <v>1.05788802014453</v>
      </c>
      <c r="AP177" s="5" t="n">
        <f aca="false">AP176+LN(1+($G177+AP$7)*$AM177)</f>
        <v>1.06208597693808</v>
      </c>
      <c r="AQ177" s="5" t="n">
        <f aca="false">AQ176+LN(1+($G177+AQ$7)*$AM177)</f>
        <v>1.19692953746796</v>
      </c>
      <c r="AR177" s="5" t="n">
        <f aca="false">AR176+LN(1+($G177+AR$7)*$AM177)</f>
        <v>1.20112399603342</v>
      </c>
      <c r="AS177" s="5" t="n">
        <f aca="false">AS176+LN(1+($G177+AS$7)*$AM177)</f>
        <v>1.19845422472782</v>
      </c>
      <c r="AT177" s="5" t="n">
        <f aca="false">AT176+LN(1+($G177+AT$7)*$AM177)</f>
        <v>1.20264864494896</v>
      </c>
      <c r="AU177" s="5" t="n">
        <f aca="false">AU176+LN(1+($G177+AU$7)*$AM177)</f>
        <v>1.19845389919259</v>
      </c>
      <c r="AV177" s="5" t="n">
        <f aca="false">AV176+LN(1+($G177+AV$7)*$AM177)</f>
        <v>1.20264831942192</v>
      </c>
      <c r="AW177" s="5" t="n">
        <f aca="false">AW176+LN(1+($G177+AW$7)*$AM177)</f>
        <v>1.19845389930176</v>
      </c>
      <c r="AX177" s="5" t="n">
        <f aca="false">AX176+LN(1+($G177+AX$7)*$AM177)</f>
        <v>1.2026483195311</v>
      </c>
      <c r="AY177" s="5" t="n">
        <f aca="false">AY176+LN(1+($G177+AY$7)*$AM177)</f>
        <v>1.19845389930174</v>
      </c>
      <c r="AZ177" s="5" t="n">
        <f aca="false">AZ176+LN(1+($G177+AZ$7)*$AM177)</f>
        <v>1.20264831953106</v>
      </c>
      <c r="BA177" s="5" t="n">
        <f aca="false">BA176+LN(1+($G177+BA$7)*$AM177)</f>
        <v>1.19845389930174</v>
      </c>
      <c r="BB177" s="5" t="n">
        <f aca="false">BB176+LN(1+($G177+BB$7)*$AM177)</f>
        <v>1.20264831953106</v>
      </c>
      <c r="BC177" s="5" t="n">
        <f aca="false">BC176+LN(1+($G177+BC$7)*$AM177)</f>
        <v>1.19845389930174</v>
      </c>
      <c r="BD177" s="5" t="n">
        <f aca="false">BD176+LN(1+($G177+BD$7)*$AM177)</f>
        <v>1.20264831953106</v>
      </c>
      <c r="BE177" s="5" t="n">
        <f aca="false">IF(AB177,O177,IF(D177,MIN(O177,AC177*X177+BF176),0))</f>
        <v>0</v>
      </c>
      <c r="BF177" s="5" t="n">
        <f aca="false">IF(OR(AB177,E177),0,BE177-AD177)</f>
        <v>0</v>
      </c>
      <c r="BG177" s="5" t="n">
        <f aca="false">BG176+LN(1+($G177+BG$7)*$AM177)</f>
        <v>1.15650389424439</v>
      </c>
      <c r="BH177" s="5"/>
      <c r="BI177" s="5" t="n">
        <f aca="false">BI176+LN(1+($G177+BI$7)*$AM177)</f>
        <v>1.24039335547211</v>
      </c>
      <c r="BJ177" s="5"/>
      <c r="BK177" s="62" t="n">
        <f aca="false">C177</f>
        <v>61498</v>
      </c>
      <c r="BL177" s="67" t="n">
        <f aca="false">AI177</f>
        <v>0</v>
      </c>
    </row>
    <row r="178" customFormat="false" ht="15" hidden="false" customHeight="true" outlineLevel="0" collapsed="false">
      <c r="A178" s="3" t="n">
        <v>168</v>
      </c>
      <c r="B178" s="38" t="n">
        <f aca="false">EDATE(Inputs!$C$8,3*(A178-1))</f>
        <v>61590</v>
      </c>
      <c r="C178" s="38" t="n">
        <f aca="false">WORKDAY(B178-1,1)</f>
        <v>61590</v>
      </c>
      <c r="D178" s="61" t="b">
        <f aca="false">C178&lt;=Inputs!$C$9</f>
        <v>0</v>
      </c>
      <c r="E178" s="61" t="b">
        <f aca="false">AND(D178,NOT(D179))</f>
        <v>0</v>
      </c>
      <c r="F178" s="63" t="n">
        <f aca="false">(C178-C177)/360</f>
        <v>0.255555555555556</v>
      </c>
      <c r="G178" s="57" t="n">
        <f aca="false">Curve!D171</f>
        <v>0.02252</v>
      </c>
      <c r="H178" s="64" t="n">
        <f aca="false">AF177</f>
        <v>0</v>
      </c>
      <c r="I178" s="64" t="n">
        <f aca="false">IF(D178,H178*Inputs!$G$22,0)</f>
        <v>0</v>
      </c>
      <c r="J178" s="32" t="n">
        <f aca="false">MAX(Inputs!$G$24-(A178-1),1)</f>
        <v>1</v>
      </c>
      <c r="K178" s="64" t="n">
        <f aca="false">IF(D178,MIN(H178-I178,IF(J178&gt;1,(H178-I178)*Inputs!$G$23/((1+Inputs!$G$23)^J178-1),H178-I178)),0)</f>
        <v>0</v>
      </c>
      <c r="L178" s="64" t="n">
        <f aca="false">IF(D178,(H178-I178-K178)*Inputs!$G$21,0)</f>
        <v>0</v>
      </c>
      <c r="M178" s="64" t="n">
        <f aca="false">IF(A178&gt;Inputs!$G$13,(1-Inputs!$G$12)*INDEX($I$11:$I$190,A178-Inputs!$G$13),0)</f>
        <v>0</v>
      </c>
      <c r="N178" s="64" t="n">
        <f aca="false">IF(D178,(H178-I178)*Inputs!$G$23,0)</f>
        <v>0</v>
      </c>
      <c r="O178" s="64" t="n">
        <f aca="false">AG177</f>
        <v>0</v>
      </c>
      <c r="P178" s="64" t="n">
        <f aca="false">AH177</f>
        <v>0</v>
      </c>
      <c r="Q178" s="64" t="n">
        <f aca="false">IF(AND(D178,O178+P178&gt;0),Inputs!$C$25+Inputs!$C$26*H178/4,0)</f>
        <v>0</v>
      </c>
      <c r="R178" s="64" t="n">
        <f aca="false">O178*IF(Inputs!$G$19="",G178+Inputs!$C$13,MAX(Inputs!$G$19,G178+Inputs!$C$13))*F178</f>
        <v>0</v>
      </c>
      <c r="S178" s="64" t="n">
        <f aca="false">P178*(G178+Inputs!$C$14)*F178</f>
        <v>0</v>
      </c>
      <c r="T178" s="64" t="n">
        <f aca="false">N178+M178-Q178-R178-S178</f>
        <v>0</v>
      </c>
      <c r="U178" s="64" t="n">
        <f aca="false">W177</f>
        <v>260422.420657149</v>
      </c>
      <c r="V178" s="64" t="n">
        <f aca="false">MIN(U178+I178,MAX(T178,0))</f>
        <v>0</v>
      </c>
      <c r="W178" s="64" t="n">
        <f aca="false">U178+I178-V178</f>
        <v>260422.420657149</v>
      </c>
      <c r="X178" s="64" t="n">
        <f aca="false">K178+L178+V178+IF(E178,H178-I178-K178-L178,0)</f>
        <v>0</v>
      </c>
      <c r="Y178" s="61" t="b">
        <f aca="false">AND(Inputs!$C$21=1,O178/Inputs!$C$10&lt;=Inputs!$C$22,Inputs!$G$14&lt;Inputs!$C$23,W178&lt;1)</f>
        <v>0</v>
      </c>
      <c r="Z178" s="61" t="b">
        <f aca="false">OR(AND(Inputs!$G$15=1,H178/Inputs!$C$17&lt;=Inputs!$C$24),AND(Inputs!$G$15=2,C178&gt;=Inputs!$G$16))</f>
        <v>0</v>
      </c>
      <c r="AA178" s="61" t="b">
        <f aca="false">OR(AA177,Z178)</f>
        <v>0</v>
      </c>
      <c r="AB178" s="61" t="b">
        <f aca="false">AND(Z178,NOT(AA177),D178,O178&gt;0)</f>
        <v>0</v>
      </c>
      <c r="AC178" s="63" t="n">
        <f aca="false">IF(AND(Y178,NOT(E178),O178+P178&gt;0),O178/(O178+P178),1)</f>
        <v>1</v>
      </c>
      <c r="AD178" s="64" t="n">
        <f aca="false">IF(AB178,O178,IF(D178,MIN(O178,IF(E178,AC178*X178+BF177,BE178*Inputs!$G$20)),0))</f>
        <v>0</v>
      </c>
      <c r="AE178" s="64" t="n">
        <f aca="false">IF(AB178,P178,IF(D178,MAX(MIN(P178,X178-MIN(O178,AC178*X178)),0),0))</f>
        <v>0</v>
      </c>
      <c r="AF178" s="64" t="n">
        <f aca="false">IF(OR(AB178,E178),0,MAX(H178-I178-K178-L178,0))</f>
        <v>0</v>
      </c>
      <c r="AG178" s="64" t="n">
        <f aca="false">IF(E178,0,O178-AD178)</f>
        <v>0</v>
      </c>
      <c r="AH178" s="64" t="n">
        <f aca="false">IF(OR(AB178,E178),0,P178-AE178)</f>
        <v>0</v>
      </c>
      <c r="AI178" s="64" t="n">
        <f aca="false">IF(D178,R178+AD178,0)</f>
        <v>0</v>
      </c>
      <c r="AJ178" s="65" t="n">
        <f aca="false">(C178-Inputs!$G$6)/365</f>
        <v>41.9205479452055</v>
      </c>
      <c r="AK178" s="29" t="n">
        <f aca="false">AG178/Inputs!$C$10</f>
        <v>0</v>
      </c>
      <c r="AL178" s="5"/>
      <c r="AM178" s="66" t="n">
        <f aca="false">F178</f>
        <v>0.255555555555556</v>
      </c>
      <c r="AN178" s="5"/>
      <c r="AO178" s="5" t="n">
        <f aca="false">AO177+LN(1+($G178+AO$7)*$AM178)</f>
        <v>1.06428705811569</v>
      </c>
      <c r="AP178" s="5" t="n">
        <f aca="false">AP177+LN(1+($G178+AP$7)*$AM178)</f>
        <v>1.06851040713354</v>
      </c>
      <c r="AQ178" s="5" t="n">
        <f aca="false">AQ177+LN(1+($G178+AQ$7)*$AM178)</f>
        <v>1.20416959429544</v>
      </c>
      <c r="AR178" s="5" t="n">
        <f aca="false">AR177+LN(1+($G178+AR$7)*$AM178)</f>
        <v>1.20838942373912</v>
      </c>
      <c r="AS178" s="5" t="n">
        <f aca="false">AS177+LN(1+($G178+AS$7)*$AM178)</f>
        <v>1.20570350387968</v>
      </c>
      <c r="AT178" s="5" t="n">
        <f aca="false">AT177+LN(1+($G178+AT$7)*$AM178)</f>
        <v>1.20992329474507</v>
      </c>
      <c r="AU178" s="5" t="n">
        <f aca="false">AU177+LN(1+($G178+AU$7)*$AM178)</f>
        <v>1.2057031763754</v>
      </c>
      <c r="AV178" s="5" t="n">
        <f aca="false">AV177+LN(1+($G178+AV$7)*$AM178)</f>
        <v>1.20992296724902</v>
      </c>
      <c r="AW178" s="5" t="n">
        <f aca="false">AW177+LN(1+($G178+AW$7)*$AM178)</f>
        <v>1.20570317648524</v>
      </c>
      <c r="AX178" s="5" t="n">
        <f aca="false">AX177+LN(1+($G178+AX$7)*$AM178)</f>
        <v>1.20992296735886</v>
      </c>
      <c r="AY178" s="5" t="n">
        <f aca="false">AY177+LN(1+($G178+AY$7)*$AM178)</f>
        <v>1.20570317648521</v>
      </c>
      <c r="AZ178" s="5" t="n">
        <f aca="false">AZ177+LN(1+($G178+AZ$7)*$AM178)</f>
        <v>1.20992296735882</v>
      </c>
      <c r="BA178" s="5" t="n">
        <f aca="false">BA177+LN(1+($G178+BA$7)*$AM178)</f>
        <v>1.20570317648521</v>
      </c>
      <c r="BB178" s="5" t="n">
        <f aca="false">BB177+LN(1+($G178+BB$7)*$AM178)</f>
        <v>1.20992296735882</v>
      </c>
      <c r="BC178" s="5" t="n">
        <f aca="false">BC177+LN(1+($G178+BC$7)*$AM178)</f>
        <v>1.20570317648521</v>
      </c>
      <c r="BD178" s="5" t="n">
        <f aca="false">BD177+LN(1+($G178+BD$7)*$AM178)</f>
        <v>1.20992296735882</v>
      </c>
      <c r="BE178" s="5" t="n">
        <f aca="false">IF(AB178,O178,IF(D178,MIN(O178,AC178*X178+BF177),0))</f>
        <v>0</v>
      </c>
      <c r="BF178" s="5" t="n">
        <f aca="false">IF(OR(AB178,E178),0,BE178-AD178)</f>
        <v>0</v>
      </c>
      <c r="BG178" s="5" t="n">
        <f aca="false">BG177+LN(1+($G178+BG$7)*$AM178)</f>
        <v>1.16349942957684</v>
      </c>
      <c r="BH178" s="5"/>
      <c r="BI178" s="5" t="n">
        <f aca="false">BI177+LN(1+($G178+BI$7)*$AM178)</f>
        <v>1.24789631013801</v>
      </c>
      <c r="BJ178" s="5"/>
      <c r="BK178" s="62" t="n">
        <f aca="false">C178</f>
        <v>61590</v>
      </c>
      <c r="BL178" s="67" t="n">
        <f aca="false">AI178</f>
        <v>0</v>
      </c>
    </row>
    <row r="179" customFormat="false" ht="15" hidden="false" customHeight="true" outlineLevel="0" collapsed="false">
      <c r="A179" s="3" t="n">
        <v>169</v>
      </c>
      <c r="B179" s="38" t="n">
        <f aca="false">EDATE(Inputs!$C$8,3*(A179-1))</f>
        <v>61682</v>
      </c>
      <c r="C179" s="38" t="n">
        <f aca="false">WORKDAY(B179-1,1)</f>
        <v>61682</v>
      </c>
      <c r="D179" s="61" t="b">
        <f aca="false">C179&lt;=Inputs!$C$9</f>
        <v>0</v>
      </c>
      <c r="E179" s="61" t="b">
        <f aca="false">AND(D179,NOT(D180))</f>
        <v>0</v>
      </c>
      <c r="F179" s="63" t="n">
        <f aca="false">(C179-C178)/360</f>
        <v>0.255555555555556</v>
      </c>
      <c r="G179" s="57" t="n">
        <f aca="false">Curve!D172</f>
        <v>0.02252</v>
      </c>
      <c r="H179" s="64" t="n">
        <f aca="false">AF178</f>
        <v>0</v>
      </c>
      <c r="I179" s="64" t="n">
        <f aca="false">IF(D179,H179*Inputs!$G$22,0)</f>
        <v>0</v>
      </c>
      <c r="J179" s="32" t="n">
        <f aca="false">MAX(Inputs!$G$24-(A179-1),1)</f>
        <v>1</v>
      </c>
      <c r="K179" s="64" t="n">
        <f aca="false">IF(D179,MIN(H179-I179,IF(J179&gt;1,(H179-I179)*Inputs!$G$23/((1+Inputs!$G$23)^J179-1),H179-I179)),0)</f>
        <v>0</v>
      </c>
      <c r="L179" s="64" t="n">
        <f aca="false">IF(D179,(H179-I179-K179)*Inputs!$G$21,0)</f>
        <v>0</v>
      </c>
      <c r="M179" s="64" t="n">
        <f aca="false">IF(A179&gt;Inputs!$G$13,(1-Inputs!$G$12)*INDEX($I$11:$I$190,A179-Inputs!$G$13),0)</f>
        <v>0</v>
      </c>
      <c r="N179" s="64" t="n">
        <f aca="false">IF(D179,(H179-I179)*Inputs!$G$23,0)</f>
        <v>0</v>
      </c>
      <c r="O179" s="64" t="n">
        <f aca="false">AG178</f>
        <v>0</v>
      </c>
      <c r="P179" s="64" t="n">
        <f aca="false">AH178</f>
        <v>0</v>
      </c>
      <c r="Q179" s="64" t="n">
        <f aca="false">IF(AND(D179,O179+P179&gt;0),Inputs!$C$25+Inputs!$C$26*H179/4,0)</f>
        <v>0</v>
      </c>
      <c r="R179" s="64" t="n">
        <f aca="false">O179*IF(Inputs!$G$19="",G179+Inputs!$C$13,MAX(Inputs!$G$19,G179+Inputs!$C$13))*F179</f>
        <v>0</v>
      </c>
      <c r="S179" s="64" t="n">
        <f aca="false">P179*(G179+Inputs!$C$14)*F179</f>
        <v>0</v>
      </c>
      <c r="T179" s="64" t="n">
        <f aca="false">N179+M179-Q179-R179-S179</f>
        <v>0</v>
      </c>
      <c r="U179" s="64" t="n">
        <f aca="false">W178</f>
        <v>260422.420657149</v>
      </c>
      <c r="V179" s="64" t="n">
        <f aca="false">MIN(U179+I179,MAX(T179,0))</f>
        <v>0</v>
      </c>
      <c r="W179" s="64" t="n">
        <f aca="false">U179+I179-V179</f>
        <v>260422.420657149</v>
      </c>
      <c r="X179" s="64" t="n">
        <f aca="false">K179+L179+V179+IF(E179,H179-I179-K179-L179,0)</f>
        <v>0</v>
      </c>
      <c r="Y179" s="61" t="b">
        <f aca="false">AND(Inputs!$C$21=1,O179/Inputs!$C$10&lt;=Inputs!$C$22,Inputs!$G$14&lt;Inputs!$C$23,W179&lt;1)</f>
        <v>0</v>
      </c>
      <c r="Z179" s="61" t="b">
        <f aca="false">OR(AND(Inputs!$G$15=1,H179/Inputs!$C$17&lt;=Inputs!$C$24),AND(Inputs!$G$15=2,C179&gt;=Inputs!$G$16))</f>
        <v>0</v>
      </c>
      <c r="AA179" s="61" t="b">
        <f aca="false">OR(AA178,Z179)</f>
        <v>0</v>
      </c>
      <c r="AB179" s="61" t="b">
        <f aca="false">AND(Z179,NOT(AA178),D179,O179&gt;0)</f>
        <v>0</v>
      </c>
      <c r="AC179" s="63" t="n">
        <f aca="false">IF(AND(Y179,NOT(E179),O179+P179&gt;0),O179/(O179+P179),1)</f>
        <v>1</v>
      </c>
      <c r="AD179" s="64" t="n">
        <f aca="false">IF(AB179,O179,IF(D179,MIN(O179,IF(E179,AC179*X179+BF178,BE179*Inputs!$G$20)),0))</f>
        <v>0</v>
      </c>
      <c r="AE179" s="64" t="n">
        <f aca="false">IF(AB179,P179,IF(D179,MAX(MIN(P179,X179-MIN(O179,AC179*X179)),0),0))</f>
        <v>0</v>
      </c>
      <c r="AF179" s="64" t="n">
        <f aca="false">IF(OR(AB179,E179),0,MAX(H179-I179-K179-L179,0))</f>
        <v>0</v>
      </c>
      <c r="AG179" s="64" t="n">
        <f aca="false">IF(E179,0,O179-AD179)</f>
        <v>0</v>
      </c>
      <c r="AH179" s="64" t="n">
        <f aca="false">IF(OR(AB179,E179),0,P179-AE179)</f>
        <v>0</v>
      </c>
      <c r="AI179" s="64" t="n">
        <f aca="false">IF(D179,R179+AD179,0)</f>
        <v>0</v>
      </c>
      <c r="AJ179" s="65" t="n">
        <f aca="false">(C179-Inputs!$G$6)/365</f>
        <v>42.172602739726</v>
      </c>
      <c r="AK179" s="29" t="n">
        <f aca="false">AG179/Inputs!$C$10</f>
        <v>0</v>
      </c>
      <c r="AL179" s="5"/>
      <c r="AM179" s="66" t="n">
        <f aca="false">F179</f>
        <v>0.255555555555556</v>
      </c>
      <c r="AN179" s="5"/>
      <c r="AO179" s="5" t="n">
        <f aca="false">AO178+LN(1+($G179+AO$7)*$AM179)</f>
        <v>1.07068609608684</v>
      </c>
      <c r="AP179" s="5" t="n">
        <f aca="false">AP178+LN(1+($G179+AP$7)*$AM179)</f>
        <v>1.074934837329</v>
      </c>
      <c r="AQ179" s="5" t="n">
        <f aca="false">AQ178+LN(1+($G179+AQ$7)*$AM179)</f>
        <v>1.21140965112292</v>
      </c>
      <c r="AR179" s="5" t="n">
        <f aca="false">AR178+LN(1+($G179+AR$7)*$AM179)</f>
        <v>1.21565485144482</v>
      </c>
      <c r="AS179" s="5" t="n">
        <f aca="false">AS178+LN(1+($G179+AS$7)*$AM179)</f>
        <v>1.21295278303155</v>
      </c>
      <c r="AT179" s="5" t="n">
        <f aca="false">AT178+LN(1+($G179+AT$7)*$AM179)</f>
        <v>1.21719794454118</v>
      </c>
      <c r="AU179" s="5" t="n">
        <f aca="false">AU178+LN(1+($G179+AU$7)*$AM179)</f>
        <v>1.21295245355821</v>
      </c>
      <c r="AV179" s="5" t="n">
        <f aca="false">AV178+LN(1+($G179+AV$7)*$AM179)</f>
        <v>1.21719761507612</v>
      </c>
      <c r="AW179" s="5" t="n">
        <f aca="false">AW178+LN(1+($G179+AW$7)*$AM179)</f>
        <v>1.21295245366871</v>
      </c>
      <c r="AX179" s="5" t="n">
        <f aca="false">AX178+LN(1+($G179+AX$7)*$AM179)</f>
        <v>1.21719761518663</v>
      </c>
      <c r="AY179" s="5" t="n">
        <f aca="false">AY178+LN(1+($G179+AY$7)*$AM179)</f>
        <v>1.21295245366869</v>
      </c>
      <c r="AZ179" s="5" t="n">
        <f aca="false">AZ178+LN(1+($G179+AZ$7)*$AM179)</f>
        <v>1.21719761518659</v>
      </c>
      <c r="BA179" s="5" t="n">
        <f aca="false">BA178+LN(1+($G179+BA$7)*$AM179)</f>
        <v>1.21295245366869</v>
      </c>
      <c r="BB179" s="5" t="n">
        <f aca="false">BB178+LN(1+($G179+BB$7)*$AM179)</f>
        <v>1.21719761518659</v>
      </c>
      <c r="BC179" s="5" t="n">
        <f aca="false">BC178+LN(1+($G179+BC$7)*$AM179)</f>
        <v>1.21295245366869</v>
      </c>
      <c r="BD179" s="5" t="n">
        <f aca="false">BD178+LN(1+($G179+BD$7)*$AM179)</f>
        <v>1.21719761518659</v>
      </c>
      <c r="BE179" s="5" t="n">
        <f aca="false">IF(AB179,O179,IF(D179,MIN(O179,AC179*X179+BF178),0))</f>
        <v>0</v>
      </c>
      <c r="BF179" s="5" t="n">
        <f aca="false">IF(OR(AB179,E179),0,BE179-AD179)</f>
        <v>0</v>
      </c>
      <c r="BG179" s="5" t="n">
        <f aca="false">BG178+LN(1+($G179+BG$7)*$AM179)</f>
        <v>1.17049496490929</v>
      </c>
      <c r="BH179" s="5"/>
      <c r="BI179" s="5" t="n">
        <f aca="false">BI178+LN(1+($G179+BI$7)*$AM179)</f>
        <v>1.25539926480391</v>
      </c>
      <c r="BJ179" s="5"/>
      <c r="BK179" s="62" t="n">
        <f aca="false">C179</f>
        <v>61682</v>
      </c>
      <c r="BL179" s="67" t="n">
        <f aca="false">AI179</f>
        <v>0</v>
      </c>
    </row>
    <row r="180" customFormat="false" ht="15" hidden="false" customHeight="true" outlineLevel="0" collapsed="false">
      <c r="A180" s="3" t="n">
        <v>170</v>
      </c>
      <c r="B180" s="38" t="n">
        <f aca="false">EDATE(Inputs!$C$8,3*(A180-1))</f>
        <v>61774</v>
      </c>
      <c r="C180" s="38" t="n">
        <f aca="false">WORKDAY(B180-1,1)</f>
        <v>61774</v>
      </c>
      <c r="D180" s="61" t="b">
        <f aca="false">C180&lt;=Inputs!$C$9</f>
        <v>0</v>
      </c>
      <c r="E180" s="61" t="b">
        <f aca="false">AND(D180,NOT(D181))</f>
        <v>0</v>
      </c>
      <c r="F180" s="63" t="n">
        <f aca="false">(C180-C179)/360</f>
        <v>0.255555555555556</v>
      </c>
      <c r="G180" s="57" t="n">
        <f aca="false">Curve!D173</f>
        <v>0.02252</v>
      </c>
      <c r="H180" s="64" t="n">
        <f aca="false">AF179</f>
        <v>0</v>
      </c>
      <c r="I180" s="64" t="n">
        <f aca="false">IF(D180,H180*Inputs!$G$22,0)</f>
        <v>0</v>
      </c>
      <c r="J180" s="32" t="n">
        <f aca="false">MAX(Inputs!$G$24-(A180-1),1)</f>
        <v>1</v>
      </c>
      <c r="K180" s="64" t="n">
        <f aca="false">IF(D180,MIN(H180-I180,IF(J180&gt;1,(H180-I180)*Inputs!$G$23/((1+Inputs!$G$23)^J180-1),H180-I180)),0)</f>
        <v>0</v>
      </c>
      <c r="L180" s="64" t="n">
        <f aca="false">IF(D180,(H180-I180-K180)*Inputs!$G$21,0)</f>
        <v>0</v>
      </c>
      <c r="M180" s="64" t="n">
        <f aca="false">IF(A180&gt;Inputs!$G$13,(1-Inputs!$G$12)*INDEX($I$11:$I$190,A180-Inputs!$G$13),0)</f>
        <v>0</v>
      </c>
      <c r="N180" s="64" t="n">
        <f aca="false">IF(D180,(H180-I180)*Inputs!$G$23,0)</f>
        <v>0</v>
      </c>
      <c r="O180" s="64" t="n">
        <f aca="false">AG179</f>
        <v>0</v>
      </c>
      <c r="P180" s="64" t="n">
        <f aca="false">AH179</f>
        <v>0</v>
      </c>
      <c r="Q180" s="64" t="n">
        <f aca="false">IF(AND(D180,O180+P180&gt;0),Inputs!$C$25+Inputs!$C$26*H180/4,0)</f>
        <v>0</v>
      </c>
      <c r="R180" s="64" t="n">
        <f aca="false">O180*IF(Inputs!$G$19="",G180+Inputs!$C$13,MAX(Inputs!$G$19,G180+Inputs!$C$13))*F180</f>
        <v>0</v>
      </c>
      <c r="S180" s="64" t="n">
        <f aca="false">P180*(G180+Inputs!$C$14)*F180</f>
        <v>0</v>
      </c>
      <c r="T180" s="64" t="n">
        <f aca="false">N180+M180-Q180-R180-S180</f>
        <v>0</v>
      </c>
      <c r="U180" s="64" t="n">
        <f aca="false">W179</f>
        <v>260422.420657149</v>
      </c>
      <c r="V180" s="64" t="n">
        <f aca="false">MIN(U180+I180,MAX(T180,0))</f>
        <v>0</v>
      </c>
      <c r="W180" s="64" t="n">
        <f aca="false">U180+I180-V180</f>
        <v>260422.420657149</v>
      </c>
      <c r="X180" s="64" t="n">
        <f aca="false">K180+L180+V180+IF(E180,H180-I180-K180-L180,0)</f>
        <v>0</v>
      </c>
      <c r="Y180" s="61" t="b">
        <f aca="false">AND(Inputs!$C$21=1,O180/Inputs!$C$10&lt;=Inputs!$C$22,Inputs!$G$14&lt;Inputs!$C$23,W180&lt;1)</f>
        <v>0</v>
      </c>
      <c r="Z180" s="61" t="b">
        <f aca="false">OR(AND(Inputs!$G$15=1,H180/Inputs!$C$17&lt;=Inputs!$C$24),AND(Inputs!$G$15=2,C180&gt;=Inputs!$G$16))</f>
        <v>0</v>
      </c>
      <c r="AA180" s="61" t="b">
        <f aca="false">OR(AA179,Z180)</f>
        <v>0</v>
      </c>
      <c r="AB180" s="61" t="b">
        <f aca="false">AND(Z180,NOT(AA179),D180,O180&gt;0)</f>
        <v>0</v>
      </c>
      <c r="AC180" s="63" t="n">
        <f aca="false">IF(AND(Y180,NOT(E180),O180+P180&gt;0),O180/(O180+P180),1)</f>
        <v>1</v>
      </c>
      <c r="AD180" s="64" t="n">
        <f aca="false">IF(AB180,O180,IF(D180,MIN(O180,IF(E180,AC180*X180+BF179,BE180*Inputs!$G$20)),0))</f>
        <v>0</v>
      </c>
      <c r="AE180" s="64" t="n">
        <f aca="false">IF(AB180,P180,IF(D180,MAX(MIN(P180,X180-MIN(O180,AC180*X180)),0),0))</f>
        <v>0</v>
      </c>
      <c r="AF180" s="64" t="n">
        <f aca="false">IF(OR(AB180,E180),0,MAX(H180-I180-K180-L180,0))</f>
        <v>0</v>
      </c>
      <c r="AG180" s="64" t="n">
        <f aca="false">IF(E180,0,O180-AD180)</f>
        <v>0</v>
      </c>
      <c r="AH180" s="64" t="n">
        <f aca="false">IF(OR(AB180,E180),0,P180-AE180)</f>
        <v>0</v>
      </c>
      <c r="AI180" s="64" t="n">
        <f aca="false">IF(D180,R180+AD180,0)</f>
        <v>0</v>
      </c>
      <c r="AJ180" s="65" t="n">
        <f aca="false">(C180-Inputs!$G$6)/365</f>
        <v>42.4246575342466</v>
      </c>
      <c r="AK180" s="29" t="n">
        <f aca="false">AG180/Inputs!$C$10</f>
        <v>0</v>
      </c>
      <c r="AL180" s="5"/>
      <c r="AM180" s="66" t="n">
        <f aca="false">F180</f>
        <v>0.255555555555556</v>
      </c>
      <c r="AN180" s="5"/>
      <c r="AO180" s="5" t="n">
        <f aca="false">AO179+LN(1+($G180+AO$7)*$AM180)</f>
        <v>1.077085134058</v>
      </c>
      <c r="AP180" s="5" t="n">
        <f aca="false">AP179+LN(1+($G180+AP$7)*$AM180)</f>
        <v>1.08135926752447</v>
      </c>
      <c r="AQ180" s="5" t="n">
        <f aca="false">AQ179+LN(1+($G180+AQ$7)*$AM180)</f>
        <v>1.2186497079504</v>
      </c>
      <c r="AR180" s="5" t="n">
        <f aca="false">AR179+LN(1+($G180+AR$7)*$AM180)</f>
        <v>1.22292027915051</v>
      </c>
      <c r="AS180" s="5" t="n">
        <f aca="false">AS179+LN(1+($G180+AS$7)*$AM180)</f>
        <v>1.22020206218342</v>
      </c>
      <c r="AT180" s="5" t="n">
        <f aca="false">AT179+LN(1+($G180+AT$7)*$AM180)</f>
        <v>1.22447259433728</v>
      </c>
      <c r="AU180" s="5" t="n">
        <f aca="false">AU179+LN(1+($G180+AU$7)*$AM180)</f>
        <v>1.22020173074102</v>
      </c>
      <c r="AV180" s="5" t="n">
        <f aca="false">AV179+LN(1+($G180+AV$7)*$AM180)</f>
        <v>1.22447226290322</v>
      </c>
      <c r="AW180" s="5" t="n">
        <f aca="false">AW179+LN(1+($G180+AW$7)*$AM180)</f>
        <v>1.22020173085218</v>
      </c>
      <c r="AX180" s="5" t="n">
        <f aca="false">AX179+LN(1+($G180+AX$7)*$AM180)</f>
        <v>1.22447226301439</v>
      </c>
      <c r="AY180" s="5" t="n">
        <f aca="false">AY179+LN(1+($G180+AY$7)*$AM180)</f>
        <v>1.22020173085216</v>
      </c>
      <c r="AZ180" s="5" t="n">
        <f aca="false">AZ179+LN(1+($G180+AZ$7)*$AM180)</f>
        <v>1.22447226301435</v>
      </c>
      <c r="BA180" s="5" t="n">
        <f aca="false">BA179+LN(1+($G180+BA$7)*$AM180)</f>
        <v>1.22020173085216</v>
      </c>
      <c r="BB180" s="5" t="n">
        <f aca="false">BB179+LN(1+($G180+BB$7)*$AM180)</f>
        <v>1.22447226301435</v>
      </c>
      <c r="BC180" s="5" t="n">
        <f aca="false">BC179+LN(1+($G180+BC$7)*$AM180)</f>
        <v>1.22020173085216</v>
      </c>
      <c r="BD180" s="5" t="n">
        <f aca="false">BD179+LN(1+($G180+BD$7)*$AM180)</f>
        <v>1.22447226301435</v>
      </c>
      <c r="BE180" s="5" t="n">
        <f aca="false">IF(AB180,O180,IF(D180,MIN(O180,AC180*X180+BF179),0))</f>
        <v>0</v>
      </c>
      <c r="BF180" s="5" t="n">
        <f aca="false">IF(OR(AB180,E180),0,BE180-AD180)</f>
        <v>0</v>
      </c>
      <c r="BG180" s="5" t="n">
        <f aca="false">BG179+LN(1+($G180+BG$7)*$AM180)</f>
        <v>1.17749050024174</v>
      </c>
      <c r="BH180" s="5"/>
      <c r="BI180" s="5" t="n">
        <f aca="false">BI179+LN(1+($G180+BI$7)*$AM180)</f>
        <v>1.26290221946981</v>
      </c>
      <c r="BJ180" s="5"/>
      <c r="BK180" s="62" t="n">
        <f aca="false">C180</f>
        <v>61774</v>
      </c>
      <c r="BL180" s="67" t="n">
        <f aca="false">AI180</f>
        <v>0</v>
      </c>
    </row>
    <row r="181" customFormat="false" ht="15" hidden="false" customHeight="true" outlineLevel="0" collapsed="false">
      <c r="A181" s="3" t="n">
        <v>171</v>
      </c>
      <c r="B181" s="38" t="n">
        <f aca="false">EDATE(Inputs!$C$8,3*(A181-1))</f>
        <v>61863</v>
      </c>
      <c r="C181" s="38" t="n">
        <f aca="false">WORKDAY(B181-1,1)</f>
        <v>61863</v>
      </c>
      <c r="D181" s="61" t="b">
        <f aca="false">C181&lt;=Inputs!$C$9</f>
        <v>0</v>
      </c>
      <c r="E181" s="61" t="b">
        <f aca="false">AND(D181,NOT(D182))</f>
        <v>0</v>
      </c>
      <c r="F181" s="63" t="n">
        <f aca="false">(C181-C180)/360</f>
        <v>0.247222222222222</v>
      </c>
      <c r="G181" s="57" t="n">
        <f aca="false">Curve!D174</f>
        <v>0.02252</v>
      </c>
      <c r="H181" s="64" t="n">
        <f aca="false">AF180</f>
        <v>0</v>
      </c>
      <c r="I181" s="64" t="n">
        <f aca="false">IF(D181,H181*Inputs!$G$22,0)</f>
        <v>0</v>
      </c>
      <c r="J181" s="32" t="n">
        <f aca="false">MAX(Inputs!$G$24-(A181-1),1)</f>
        <v>1</v>
      </c>
      <c r="K181" s="64" t="n">
        <f aca="false">IF(D181,MIN(H181-I181,IF(J181&gt;1,(H181-I181)*Inputs!$G$23/((1+Inputs!$G$23)^J181-1),H181-I181)),0)</f>
        <v>0</v>
      </c>
      <c r="L181" s="64" t="n">
        <f aca="false">IF(D181,(H181-I181-K181)*Inputs!$G$21,0)</f>
        <v>0</v>
      </c>
      <c r="M181" s="64" t="n">
        <f aca="false">IF(A181&gt;Inputs!$G$13,(1-Inputs!$G$12)*INDEX($I$11:$I$190,A181-Inputs!$G$13),0)</f>
        <v>0</v>
      </c>
      <c r="N181" s="64" t="n">
        <f aca="false">IF(D181,(H181-I181)*Inputs!$G$23,0)</f>
        <v>0</v>
      </c>
      <c r="O181" s="64" t="n">
        <f aca="false">AG180</f>
        <v>0</v>
      </c>
      <c r="P181" s="64" t="n">
        <f aca="false">AH180</f>
        <v>0</v>
      </c>
      <c r="Q181" s="64" t="n">
        <f aca="false">IF(AND(D181,O181+P181&gt;0),Inputs!$C$25+Inputs!$C$26*H181/4,0)</f>
        <v>0</v>
      </c>
      <c r="R181" s="64" t="n">
        <f aca="false">O181*IF(Inputs!$G$19="",G181+Inputs!$C$13,MAX(Inputs!$G$19,G181+Inputs!$C$13))*F181</f>
        <v>0</v>
      </c>
      <c r="S181" s="64" t="n">
        <f aca="false">P181*(G181+Inputs!$C$14)*F181</f>
        <v>0</v>
      </c>
      <c r="T181" s="64" t="n">
        <f aca="false">N181+M181-Q181-R181-S181</f>
        <v>0</v>
      </c>
      <c r="U181" s="64" t="n">
        <f aca="false">W180</f>
        <v>260422.420657149</v>
      </c>
      <c r="V181" s="64" t="n">
        <f aca="false">MIN(U181+I181,MAX(T181,0))</f>
        <v>0</v>
      </c>
      <c r="W181" s="64" t="n">
        <f aca="false">U181+I181-V181</f>
        <v>260422.420657149</v>
      </c>
      <c r="X181" s="64" t="n">
        <f aca="false">K181+L181+V181+IF(E181,H181-I181-K181-L181,0)</f>
        <v>0</v>
      </c>
      <c r="Y181" s="61" t="b">
        <f aca="false">AND(Inputs!$C$21=1,O181/Inputs!$C$10&lt;=Inputs!$C$22,Inputs!$G$14&lt;Inputs!$C$23,W181&lt;1)</f>
        <v>0</v>
      </c>
      <c r="Z181" s="61" t="b">
        <f aca="false">OR(AND(Inputs!$G$15=1,H181/Inputs!$C$17&lt;=Inputs!$C$24),AND(Inputs!$G$15=2,C181&gt;=Inputs!$G$16))</f>
        <v>0</v>
      </c>
      <c r="AA181" s="61" t="b">
        <f aca="false">OR(AA180,Z181)</f>
        <v>0</v>
      </c>
      <c r="AB181" s="61" t="b">
        <f aca="false">AND(Z181,NOT(AA180),D181,O181&gt;0)</f>
        <v>0</v>
      </c>
      <c r="AC181" s="63" t="n">
        <f aca="false">IF(AND(Y181,NOT(E181),O181+P181&gt;0),O181/(O181+P181),1)</f>
        <v>1</v>
      </c>
      <c r="AD181" s="64" t="n">
        <f aca="false">IF(AB181,O181,IF(D181,MIN(O181,IF(E181,AC181*X181+BF180,BE181*Inputs!$G$20)),0))</f>
        <v>0</v>
      </c>
      <c r="AE181" s="64" t="n">
        <f aca="false">IF(AB181,P181,IF(D181,MAX(MIN(P181,X181-MIN(O181,AC181*X181)),0),0))</f>
        <v>0</v>
      </c>
      <c r="AF181" s="64" t="n">
        <f aca="false">IF(OR(AB181,E181),0,MAX(H181-I181-K181-L181,0))</f>
        <v>0</v>
      </c>
      <c r="AG181" s="64" t="n">
        <f aca="false">IF(E181,0,O181-AD181)</f>
        <v>0</v>
      </c>
      <c r="AH181" s="64" t="n">
        <f aca="false">IF(OR(AB181,E181),0,P181-AE181)</f>
        <v>0</v>
      </c>
      <c r="AI181" s="64" t="n">
        <f aca="false">IF(D181,R181+AD181,0)</f>
        <v>0</v>
      </c>
      <c r="AJ181" s="65" t="n">
        <f aca="false">(C181-Inputs!$G$6)/365</f>
        <v>42.6684931506849</v>
      </c>
      <c r="AK181" s="29" t="n">
        <f aca="false">AG181/Inputs!$C$10</f>
        <v>0</v>
      </c>
      <c r="AL181" s="5"/>
      <c r="AM181" s="66" t="n">
        <f aca="false">F181</f>
        <v>0.247222222222222</v>
      </c>
      <c r="AN181" s="5"/>
      <c r="AO181" s="5" t="n">
        <f aca="false">AO180+LN(1+($G181+AO$7)*$AM181)</f>
        <v>1.08327615231644</v>
      </c>
      <c r="AP181" s="5" t="n">
        <f aca="false">AP180+LN(1+($G181+AP$7)*$AM181)</f>
        <v>1.08757485512038</v>
      </c>
      <c r="AQ181" s="5" t="n">
        <f aca="false">AQ180+LN(1+($G181+AQ$7)*$AM181)</f>
        <v>1.22565450088527</v>
      </c>
      <c r="AR181" s="5" t="n">
        <f aca="false">AR180+LN(1+($G181+AR$7)*$AM181)</f>
        <v>1.22994962143733</v>
      </c>
      <c r="AS181" s="5" t="n">
        <f aca="false">AS180+LN(1+($G181+AS$7)*$AM181)</f>
        <v>1.22721577881521</v>
      </c>
      <c r="AT181" s="5" t="n">
        <f aca="false">AT180+LN(1+($G181+AT$7)*$AM181)</f>
        <v>1.23151086010196</v>
      </c>
      <c r="AU181" s="5" t="n">
        <f aca="false">AU180+LN(1+($G181+AU$7)*$AM181)</f>
        <v>1.22721544546752</v>
      </c>
      <c r="AV181" s="5" t="n">
        <f aca="false">AV180+LN(1+($G181+AV$7)*$AM181)</f>
        <v>1.23151052676265</v>
      </c>
      <c r="AW181" s="5" t="n">
        <f aca="false">AW180+LN(1+($G181+AW$7)*$AM181)</f>
        <v>1.22721544557932</v>
      </c>
      <c r="AX181" s="5" t="n">
        <f aca="false">AX180+LN(1+($G181+AX$7)*$AM181)</f>
        <v>1.23151052687445</v>
      </c>
      <c r="AY181" s="5" t="n">
        <f aca="false">AY180+LN(1+($G181+AY$7)*$AM181)</f>
        <v>1.2272154455793</v>
      </c>
      <c r="AZ181" s="5" t="n">
        <f aca="false">AZ180+LN(1+($G181+AZ$7)*$AM181)</f>
        <v>1.23151052687442</v>
      </c>
      <c r="BA181" s="5" t="n">
        <f aca="false">BA180+LN(1+($G181+BA$7)*$AM181)</f>
        <v>1.2272154455793</v>
      </c>
      <c r="BB181" s="5" t="n">
        <f aca="false">BB180+LN(1+($G181+BB$7)*$AM181)</f>
        <v>1.23151052687442</v>
      </c>
      <c r="BC181" s="5" t="n">
        <f aca="false">BC180+LN(1+($G181+BC$7)*$AM181)</f>
        <v>1.2272154455793</v>
      </c>
      <c r="BD181" s="5" t="n">
        <f aca="false">BD180+LN(1+($G181+BD$7)*$AM181)</f>
        <v>1.23151052687442</v>
      </c>
      <c r="BE181" s="5" t="n">
        <f aca="false">IF(AB181,O181,IF(D181,MIN(O181,AC181*X181+BF180),0))</f>
        <v>0</v>
      </c>
      <c r="BF181" s="5" t="n">
        <f aca="false">IF(OR(AB181,E181),0,BE181-AD181)</f>
        <v>0</v>
      </c>
      <c r="BG181" s="5" t="n">
        <f aca="false">BG180+LN(1+($G181+BG$7)*$AM181)</f>
        <v>1.18425869048762</v>
      </c>
      <c r="BH181" s="5"/>
      <c r="BI181" s="5" t="n">
        <f aca="false">BI180+LN(1+($G181+BI$7)*$AM181)</f>
        <v>1.27016139841074</v>
      </c>
      <c r="BJ181" s="5"/>
      <c r="BK181" s="62" t="n">
        <f aca="false">C181</f>
        <v>61863</v>
      </c>
      <c r="BL181" s="67" t="n">
        <f aca="false">AI181</f>
        <v>0</v>
      </c>
    </row>
    <row r="182" customFormat="false" ht="15" hidden="false" customHeight="true" outlineLevel="0" collapsed="false">
      <c r="A182" s="3" t="n">
        <v>172</v>
      </c>
      <c r="B182" s="38" t="n">
        <f aca="false">EDATE(Inputs!$C$8,3*(A182-1))</f>
        <v>61955</v>
      </c>
      <c r="C182" s="38" t="n">
        <f aca="false">WORKDAY(B182-1,1)</f>
        <v>61955</v>
      </c>
      <c r="D182" s="61" t="b">
        <f aca="false">C182&lt;=Inputs!$C$9</f>
        <v>0</v>
      </c>
      <c r="E182" s="61" t="b">
        <f aca="false">AND(D182,NOT(D183))</f>
        <v>0</v>
      </c>
      <c r="F182" s="63" t="n">
        <f aca="false">(C182-C181)/360</f>
        <v>0.255555555555556</v>
      </c>
      <c r="G182" s="57" t="n">
        <f aca="false">Curve!D175</f>
        <v>0.02252</v>
      </c>
      <c r="H182" s="64" t="n">
        <f aca="false">AF181</f>
        <v>0</v>
      </c>
      <c r="I182" s="64" t="n">
        <f aca="false">IF(D182,H182*Inputs!$G$22,0)</f>
        <v>0</v>
      </c>
      <c r="J182" s="32" t="n">
        <f aca="false">MAX(Inputs!$G$24-(A182-1),1)</f>
        <v>1</v>
      </c>
      <c r="K182" s="64" t="n">
        <f aca="false">IF(D182,MIN(H182-I182,IF(J182&gt;1,(H182-I182)*Inputs!$G$23/((1+Inputs!$G$23)^J182-1),H182-I182)),0)</f>
        <v>0</v>
      </c>
      <c r="L182" s="64" t="n">
        <f aca="false">IF(D182,(H182-I182-K182)*Inputs!$G$21,0)</f>
        <v>0</v>
      </c>
      <c r="M182" s="64" t="n">
        <f aca="false">IF(A182&gt;Inputs!$G$13,(1-Inputs!$G$12)*INDEX($I$11:$I$190,A182-Inputs!$G$13),0)</f>
        <v>0</v>
      </c>
      <c r="N182" s="64" t="n">
        <f aca="false">IF(D182,(H182-I182)*Inputs!$G$23,0)</f>
        <v>0</v>
      </c>
      <c r="O182" s="64" t="n">
        <f aca="false">AG181</f>
        <v>0</v>
      </c>
      <c r="P182" s="64" t="n">
        <f aca="false">AH181</f>
        <v>0</v>
      </c>
      <c r="Q182" s="64" t="n">
        <f aca="false">IF(AND(D182,O182+P182&gt;0),Inputs!$C$25+Inputs!$C$26*H182/4,0)</f>
        <v>0</v>
      </c>
      <c r="R182" s="64" t="n">
        <f aca="false">O182*IF(Inputs!$G$19="",G182+Inputs!$C$13,MAX(Inputs!$G$19,G182+Inputs!$C$13))*F182</f>
        <v>0</v>
      </c>
      <c r="S182" s="64" t="n">
        <f aca="false">P182*(G182+Inputs!$C$14)*F182</f>
        <v>0</v>
      </c>
      <c r="T182" s="64" t="n">
        <f aca="false">N182+M182-Q182-R182-S182</f>
        <v>0</v>
      </c>
      <c r="U182" s="64" t="n">
        <f aca="false">W181</f>
        <v>260422.420657149</v>
      </c>
      <c r="V182" s="64" t="n">
        <f aca="false">MIN(U182+I182,MAX(T182,0))</f>
        <v>0</v>
      </c>
      <c r="W182" s="64" t="n">
        <f aca="false">U182+I182-V182</f>
        <v>260422.420657149</v>
      </c>
      <c r="X182" s="64" t="n">
        <f aca="false">K182+L182+V182+IF(E182,H182-I182-K182-L182,0)</f>
        <v>0</v>
      </c>
      <c r="Y182" s="61" t="b">
        <f aca="false">AND(Inputs!$C$21=1,O182/Inputs!$C$10&lt;=Inputs!$C$22,Inputs!$G$14&lt;Inputs!$C$23,W182&lt;1)</f>
        <v>0</v>
      </c>
      <c r="Z182" s="61" t="b">
        <f aca="false">OR(AND(Inputs!$G$15=1,H182/Inputs!$C$17&lt;=Inputs!$C$24),AND(Inputs!$G$15=2,C182&gt;=Inputs!$G$16))</f>
        <v>0</v>
      </c>
      <c r="AA182" s="61" t="b">
        <f aca="false">OR(AA181,Z182)</f>
        <v>0</v>
      </c>
      <c r="AB182" s="61" t="b">
        <f aca="false">AND(Z182,NOT(AA181),D182,O182&gt;0)</f>
        <v>0</v>
      </c>
      <c r="AC182" s="63" t="n">
        <f aca="false">IF(AND(Y182,NOT(E182),O182+P182&gt;0),O182/(O182+P182),1)</f>
        <v>1</v>
      </c>
      <c r="AD182" s="64" t="n">
        <f aca="false">IF(AB182,O182,IF(D182,MIN(O182,IF(E182,AC182*X182+BF181,BE182*Inputs!$G$20)),0))</f>
        <v>0</v>
      </c>
      <c r="AE182" s="64" t="n">
        <f aca="false">IF(AB182,P182,IF(D182,MAX(MIN(P182,X182-MIN(O182,AC182*X182)),0),0))</f>
        <v>0</v>
      </c>
      <c r="AF182" s="64" t="n">
        <f aca="false">IF(OR(AB182,E182),0,MAX(H182-I182-K182-L182,0))</f>
        <v>0</v>
      </c>
      <c r="AG182" s="64" t="n">
        <f aca="false">IF(E182,0,O182-AD182)</f>
        <v>0</v>
      </c>
      <c r="AH182" s="64" t="n">
        <f aca="false">IF(OR(AB182,E182),0,P182-AE182)</f>
        <v>0</v>
      </c>
      <c r="AI182" s="64" t="n">
        <f aca="false">IF(D182,R182+AD182,0)</f>
        <v>0</v>
      </c>
      <c r="AJ182" s="65" t="n">
        <f aca="false">(C182-Inputs!$G$6)/365</f>
        <v>42.9205479452055</v>
      </c>
      <c r="AK182" s="29" t="n">
        <f aca="false">AG182/Inputs!$C$10</f>
        <v>0</v>
      </c>
      <c r="AL182" s="5"/>
      <c r="AM182" s="66" t="n">
        <f aca="false">F182</f>
        <v>0.255555555555556</v>
      </c>
      <c r="AN182" s="5"/>
      <c r="AO182" s="5" t="n">
        <f aca="false">AO181+LN(1+($G182+AO$7)*$AM182)</f>
        <v>1.0896751902876</v>
      </c>
      <c r="AP182" s="5" t="n">
        <f aca="false">AP181+LN(1+($G182+AP$7)*$AM182)</f>
        <v>1.09399928531585</v>
      </c>
      <c r="AQ182" s="5" t="n">
        <f aca="false">AQ181+LN(1+($G182+AQ$7)*$AM182)</f>
        <v>1.23289455771275</v>
      </c>
      <c r="AR182" s="5" t="n">
        <f aca="false">AR181+LN(1+($G182+AR$7)*$AM182)</f>
        <v>1.23721504914302</v>
      </c>
      <c r="AS182" s="5" t="n">
        <f aca="false">AS181+LN(1+($G182+AS$7)*$AM182)</f>
        <v>1.23446505796708</v>
      </c>
      <c r="AT182" s="5" t="n">
        <f aca="false">AT181+LN(1+($G182+AT$7)*$AM182)</f>
        <v>1.23878550989806</v>
      </c>
      <c r="AU182" s="5" t="n">
        <f aca="false">AU181+LN(1+($G182+AU$7)*$AM182)</f>
        <v>1.23446472265034</v>
      </c>
      <c r="AV182" s="5" t="n">
        <f aca="false">AV181+LN(1+($G182+AV$7)*$AM182)</f>
        <v>1.23878517458975</v>
      </c>
      <c r="AW182" s="5" t="n">
        <f aca="false">AW181+LN(1+($G182+AW$7)*$AM182)</f>
        <v>1.23446472276279</v>
      </c>
      <c r="AX182" s="5" t="n">
        <f aca="false">AX181+LN(1+($G182+AX$7)*$AM182)</f>
        <v>1.23878517470222</v>
      </c>
      <c r="AY182" s="5" t="n">
        <f aca="false">AY181+LN(1+($G182+AY$7)*$AM182)</f>
        <v>1.23446472276277</v>
      </c>
      <c r="AZ182" s="5" t="n">
        <f aca="false">AZ181+LN(1+($G182+AZ$7)*$AM182)</f>
        <v>1.23878517470218</v>
      </c>
      <c r="BA182" s="5" t="n">
        <f aca="false">BA181+LN(1+($G182+BA$7)*$AM182)</f>
        <v>1.23446472276277</v>
      </c>
      <c r="BB182" s="5" t="n">
        <f aca="false">BB181+LN(1+($G182+BB$7)*$AM182)</f>
        <v>1.23878517470218</v>
      </c>
      <c r="BC182" s="5" t="n">
        <f aca="false">BC181+LN(1+($G182+BC$7)*$AM182)</f>
        <v>1.23446472276277</v>
      </c>
      <c r="BD182" s="5" t="n">
        <f aca="false">BD181+LN(1+($G182+BD$7)*$AM182)</f>
        <v>1.23878517470218</v>
      </c>
      <c r="BE182" s="5" t="n">
        <f aca="false">IF(AB182,O182,IF(D182,MIN(O182,AC182*X182+BF181),0))</f>
        <v>0</v>
      </c>
      <c r="BF182" s="5" t="n">
        <f aca="false">IF(OR(AB182,E182),0,BE182-AD182)</f>
        <v>0</v>
      </c>
      <c r="BG182" s="5" t="n">
        <f aca="false">BG181+LN(1+($G182+BG$7)*$AM182)</f>
        <v>1.19125422582007</v>
      </c>
      <c r="BH182" s="5"/>
      <c r="BI182" s="5" t="n">
        <f aca="false">BI181+LN(1+($G182+BI$7)*$AM182)</f>
        <v>1.27766435307664</v>
      </c>
      <c r="BJ182" s="5"/>
      <c r="BK182" s="62" t="n">
        <f aca="false">C182</f>
        <v>61955</v>
      </c>
      <c r="BL182" s="67" t="n">
        <f aca="false">AI182</f>
        <v>0</v>
      </c>
    </row>
    <row r="183" customFormat="false" ht="15" hidden="false" customHeight="true" outlineLevel="0" collapsed="false">
      <c r="A183" s="3" t="n">
        <v>173</v>
      </c>
      <c r="B183" s="38" t="n">
        <f aca="false">EDATE(Inputs!$C$8,3*(A183-1))</f>
        <v>62047</v>
      </c>
      <c r="C183" s="38" t="n">
        <f aca="false">WORKDAY(B183-1,1)</f>
        <v>62047</v>
      </c>
      <c r="D183" s="61" t="b">
        <f aca="false">C183&lt;=Inputs!$C$9</f>
        <v>0</v>
      </c>
      <c r="E183" s="61" t="b">
        <f aca="false">AND(D183,NOT(D184))</f>
        <v>0</v>
      </c>
      <c r="F183" s="63" t="n">
        <f aca="false">(C183-C182)/360</f>
        <v>0.255555555555556</v>
      </c>
      <c r="G183" s="57" t="n">
        <f aca="false">Curve!D176</f>
        <v>0.02252</v>
      </c>
      <c r="H183" s="64" t="n">
        <f aca="false">AF182</f>
        <v>0</v>
      </c>
      <c r="I183" s="64" t="n">
        <f aca="false">IF(D183,H183*Inputs!$G$22,0)</f>
        <v>0</v>
      </c>
      <c r="J183" s="32" t="n">
        <f aca="false">MAX(Inputs!$G$24-(A183-1),1)</f>
        <v>1</v>
      </c>
      <c r="K183" s="64" t="n">
        <f aca="false">IF(D183,MIN(H183-I183,IF(J183&gt;1,(H183-I183)*Inputs!$G$23/((1+Inputs!$G$23)^J183-1),H183-I183)),0)</f>
        <v>0</v>
      </c>
      <c r="L183" s="64" t="n">
        <f aca="false">IF(D183,(H183-I183-K183)*Inputs!$G$21,0)</f>
        <v>0</v>
      </c>
      <c r="M183" s="64" t="n">
        <f aca="false">IF(A183&gt;Inputs!$G$13,(1-Inputs!$G$12)*INDEX($I$11:$I$190,A183-Inputs!$G$13),0)</f>
        <v>0</v>
      </c>
      <c r="N183" s="64" t="n">
        <f aca="false">IF(D183,(H183-I183)*Inputs!$G$23,0)</f>
        <v>0</v>
      </c>
      <c r="O183" s="64" t="n">
        <f aca="false">AG182</f>
        <v>0</v>
      </c>
      <c r="P183" s="64" t="n">
        <f aca="false">AH182</f>
        <v>0</v>
      </c>
      <c r="Q183" s="64" t="n">
        <f aca="false">IF(AND(D183,O183+P183&gt;0),Inputs!$C$25+Inputs!$C$26*H183/4,0)</f>
        <v>0</v>
      </c>
      <c r="R183" s="64" t="n">
        <f aca="false">O183*IF(Inputs!$G$19="",G183+Inputs!$C$13,MAX(Inputs!$G$19,G183+Inputs!$C$13))*F183</f>
        <v>0</v>
      </c>
      <c r="S183" s="64" t="n">
        <f aca="false">P183*(G183+Inputs!$C$14)*F183</f>
        <v>0</v>
      </c>
      <c r="T183" s="64" t="n">
        <f aca="false">N183+M183-Q183-R183-S183</f>
        <v>0</v>
      </c>
      <c r="U183" s="64" t="n">
        <f aca="false">W182</f>
        <v>260422.420657149</v>
      </c>
      <c r="V183" s="64" t="n">
        <f aca="false">MIN(U183+I183,MAX(T183,0))</f>
        <v>0</v>
      </c>
      <c r="W183" s="64" t="n">
        <f aca="false">U183+I183-V183</f>
        <v>260422.420657149</v>
      </c>
      <c r="X183" s="64" t="n">
        <f aca="false">K183+L183+V183+IF(E183,H183-I183-K183-L183,0)</f>
        <v>0</v>
      </c>
      <c r="Y183" s="61" t="b">
        <f aca="false">AND(Inputs!$C$21=1,O183/Inputs!$C$10&lt;=Inputs!$C$22,Inputs!$G$14&lt;Inputs!$C$23,W183&lt;1)</f>
        <v>0</v>
      </c>
      <c r="Z183" s="61" t="b">
        <f aca="false">OR(AND(Inputs!$G$15=1,H183/Inputs!$C$17&lt;=Inputs!$C$24),AND(Inputs!$G$15=2,C183&gt;=Inputs!$G$16))</f>
        <v>0</v>
      </c>
      <c r="AA183" s="61" t="b">
        <f aca="false">OR(AA182,Z183)</f>
        <v>0</v>
      </c>
      <c r="AB183" s="61" t="b">
        <f aca="false">AND(Z183,NOT(AA182),D183,O183&gt;0)</f>
        <v>0</v>
      </c>
      <c r="AC183" s="63" t="n">
        <f aca="false">IF(AND(Y183,NOT(E183),O183+P183&gt;0),O183/(O183+P183),1)</f>
        <v>1</v>
      </c>
      <c r="AD183" s="64" t="n">
        <f aca="false">IF(AB183,O183,IF(D183,MIN(O183,IF(E183,AC183*X183+BF182,BE183*Inputs!$G$20)),0))</f>
        <v>0</v>
      </c>
      <c r="AE183" s="64" t="n">
        <f aca="false">IF(AB183,P183,IF(D183,MAX(MIN(P183,X183-MIN(O183,AC183*X183)),0),0))</f>
        <v>0</v>
      </c>
      <c r="AF183" s="64" t="n">
        <f aca="false">IF(OR(AB183,E183),0,MAX(H183-I183-K183-L183,0))</f>
        <v>0</v>
      </c>
      <c r="AG183" s="64" t="n">
        <f aca="false">IF(E183,0,O183-AD183)</f>
        <v>0</v>
      </c>
      <c r="AH183" s="64" t="n">
        <f aca="false">IF(OR(AB183,E183),0,P183-AE183)</f>
        <v>0</v>
      </c>
      <c r="AI183" s="64" t="n">
        <f aca="false">IF(D183,R183+AD183,0)</f>
        <v>0</v>
      </c>
      <c r="AJ183" s="65" t="n">
        <f aca="false">(C183-Inputs!$G$6)/365</f>
        <v>43.172602739726</v>
      </c>
      <c r="AK183" s="29" t="n">
        <f aca="false">AG183/Inputs!$C$10</f>
        <v>0</v>
      </c>
      <c r="AL183" s="5"/>
      <c r="AM183" s="66" t="n">
        <f aca="false">F183</f>
        <v>0.255555555555556</v>
      </c>
      <c r="AN183" s="5"/>
      <c r="AO183" s="5" t="n">
        <f aca="false">AO182+LN(1+($G183+AO$7)*$AM183)</f>
        <v>1.09607422825876</v>
      </c>
      <c r="AP183" s="5" t="n">
        <f aca="false">AP182+LN(1+($G183+AP$7)*$AM183)</f>
        <v>1.10042371551131</v>
      </c>
      <c r="AQ183" s="5" t="n">
        <f aca="false">AQ182+LN(1+($G183+AQ$7)*$AM183)</f>
        <v>1.24013461454023</v>
      </c>
      <c r="AR183" s="5" t="n">
        <f aca="false">AR182+LN(1+($G183+AR$7)*$AM183)</f>
        <v>1.24448047684872</v>
      </c>
      <c r="AS183" s="5" t="n">
        <f aca="false">AS182+LN(1+($G183+AS$7)*$AM183)</f>
        <v>1.24171433711894</v>
      </c>
      <c r="AT183" s="5" t="n">
        <f aca="false">AT182+LN(1+($G183+AT$7)*$AM183)</f>
        <v>1.24606015969417</v>
      </c>
      <c r="AU183" s="5" t="n">
        <f aca="false">AU182+LN(1+($G183+AU$7)*$AM183)</f>
        <v>1.24171399983315</v>
      </c>
      <c r="AV183" s="5" t="n">
        <f aca="false">AV182+LN(1+($G183+AV$7)*$AM183)</f>
        <v>1.24605982241686</v>
      </c>
      <c r="AW183" s="5" t="n">
        <f aca="false">AW182+LN(1+($G183+AW$7)*$AM183)</f>
        <v>1.24171399994627</v>
      </c>
      <c r="AX183" s="5" t="n">
        <f aca="false">AX182+LN(1+($G183+AX$7)*$AM183)</f>
        <v>1.24605982252998</v>
      </c>
      <c r="AY183" s="5" t="n">
        <f aca="false">AY182+LN(1+($G183+AY$7)*$AM183)</f>
        <v>1.24171399994624</v>
      </c>
      <c r="AZ183" s="5" t="n">
        <f aca="false">AZ182+LN(1+($G183+AZ$7)*$AM183)</f>
        <v>1.24605982252994</v>
      </c>
      <c r="BA183" s="5" t="n">
        <f aca="false">BA182+LN(1+($G183+BA$7)*$AM183)</f>
        <v>1.24171399994624</v>
      </c>
      <c r="BB183" s="5" t="n">
        <f aca="false">BB182+LN(1+($G183+BB$7)*$AM183)</f>
        <v>1.24605982252994</v>
      </c>
      <c r="BC183" s="5" t="n">
        <f aca="false">BC182+LN(1+($G183+BC$7)*$AM183)</f>
        <v>1.24171399994624</v>
      </c>
      <c r="BD183" s="5" t="n">
        <f aca="false">BD182+LN(1+($G183+BD$7)*$AM183)</f>
        <v>1.24605982252994</v>
      </c>
      <c r="BE183" s="5" t="n">
        <f aca="false">IF(AB183,O183,IF(D183,MIN(O183,AC183*X183+BF182),0))</f>
        <v>0</v>
      </c>
      <c r="BF183" s="5" t="n">
        <f aca="false">IF(OR(AB183,E183),0,BE183-AD183)</f>
        <v>0</v>
      </c>
      <c r="BG183" s="5" t="n">
        <f aca="false">BG182+LN(1+($G183+BG$7)*$AM183)</f>
        <v>1.19824976115252</v>
      </c>
      <c r="BH183" s="5"/>
      <c r="BI183" s="5" t="n">
        <f aca="false">BI182+LN(1+($G183+BI$7)*$AM183)</f>
        <v>1.28516730774254</v>
      </c>
      <c r="BJ183" s="5"/>
      <c r="BK183" s="62" t="n">
        <f aca="false">C183</f>
        <v>62047</v>
      </c>
      <c r="BL183" s="67" t="n">
        <f aca="false">AI183</f>
        <v>0</v>
      </c>
    </row>
    <row r="184" customFormat="false" ht="15" hidden="false" customHeight="true" outlineLevel="0" collapsed="false">
      <c r="A184" s="3" t="n">
        <v>174</v>
      </c>
      <c r="B184" s="38" t="n">
        <f aca="false">EDATE(Inputs!$C$8,3*(A184-1))</f>
        <v>62139</v>
      </c>
      <c r="C184" s="38" t="n">
        <f aca="false">WORKDAY(B184-1,1)</f>
        <v>62141</v>
      </c>
      <c r="D184" s="61" t="b">
        <f aca="false">C184&lt;=Inputs!$C$9</f>
        <v>0</v>
      </c>
      <c r="E184" s="61" t="b">
        <f aca="false">AND(D184,NOT(D185))</f>
        <v>0</v>
      </c>
      <c r="F184" s="63" t="n">
        <f aca="false">(C184-C183)/360</f>
        <v>0.261111111111111</v>
      </c>
      <c r="G184" s="57" t="n">
        <f aca="false">Curve!D177</f>
        <v>0.02252</v>
      </c>
      <c r="H184" s="64" t="n">
        <f aca="false">AF183</f>
        <v>0</v>
      </c>
      <c r="I184" s="64" t="n">
        <f aca="false">IF(D184,H184*Inputs!$G$22,0)</f>
        <v>0</v>
      </c>
      <c r="J184" s="32" t="n">
        <f aca="false">MAX(Inputs!$G$24-(A184-1),1)</f>
        <v>1</v>
      </c>
      <c r="K184" s="64" t="n">
        <f aca="false">IF(D184,MIN(H184-I184,IF(J184&gt;1,(H184-I184)*Inputs!$G$23/((1+Inputs!$G$23)^J184-1),H184-I184)),0)</f>
        <v>0</v>
      </c>
      <c r="L184" s="64" t="n">
        <f aca="false">IF(D184,(H184-I184-K184)*Inputs!$G$21,0)</f>
        <v>0</v>
      </c>
      <c r="M184" s="64" t="n">
        <f aca="false">IF(A184&gt;Inputs!$G$13,(1-Inputs!$G$12)*INDEX($I$11:$I$190,A184-Inputs!$G$13),0)</f>
        <v>0</v>
      </c>
      <c r="N184" s="64" t="n">
        <f aca="false">IF(D184,(H184-I184)*Inputs!$G$23,0)</f>
        <v>0</v>
      </c>
      <c r="O184" s="64" t="n">
        <f aca="false">AG183</f>
        <v>0</v>
      </c>
      <c r="P184" s="64" t="n">
        <f aca="false">AH183</f>
        <v>0</v>
      </c>
      <c r="Q184" s="64" t="n">
        <f aca="false">IF(AND(D184,O184+P184&gt;0),Inputs!$C$25+Inputs!$C$26*H184/4,0)</f>
        <v>0</v>
      </c>
      <c r="R184" s="64" t="n">
        <f aca="false">O184*IF(Inputs!$G$19="",G184+Inputs!$C$13,MAX(Inputs!$G$19,G184+Inputs!$C$13))*F184</f>
        <v>0</v>
      </c>
      <c r="S184" s="64" t="n">
        <f aca="false">P184*(G184+Inputs!$C$14)*F184</f>
        <v>0</v>
      </c>
      <c r="T184" s="64" t="n">
        <f aca="false">N184+M184-Q184-R184-S184</f>
        <v>0</v>
      </c>
      <c r="U184" s="64" t="n">
        <f aca="false">W183</f>
        <v>260422.420657149</v>
      </c>
      <c r="V184" s="64" t="n">
        <f aca="false">MIN(U184+I184,MAX(T184,0))</f>
        <v>0</v>
      </c>
      <c r="W184" s="64" t="n">
        <f aca="false">U184+I184-V184</f>
        <v>260422.420657149</v>
      </c>
      <c r="X184" s="64" t="n">
        <f aca="false">K184+L184+V184+IF(E184,H184-I184-K184-L184,0)</f>
        <v>0</v>
      </c>
      <c r="Y184" s="61" t="b">
        <f aca="false">AND(Inputs!$C$21=1,O184/Inputs!$C$10&lt;=Inputs!$C$22,Inputs!$G$14&lt;Inputs!$C$23,W184&lt;1)</f>
        <v>0</v>
      </c>
      <c r="Z184" s="61" t="b">
        <f aca="false">OR(AND(Inputs!$G$15=1,H184/Inputs!$C$17&lt;=Inputs!$C$24),AND(Inputs!$G$15=2,C184&gt;=Inputs!$G$16))</f>
        <v>0</v>
      </c>
      <c r="AA184" s="61" t="b">
        <f aca="false">OR(AA183,Z184)</f>
        <v>0</v>
      </c>
      <c r="AB184" s="61" t="b">
        <f aca="false">AND(Z184,NOT(AA183),D184,O184&gt;0)</f>
        <v>0</v>
      </c>
      <c r="AC184" s="63" t="n">
        <f aca="false">IF(AND(Y184,NOT(E184),O184+P184&gt;0),O184/(O184+P184),1)</f>
        <v>1</v>
      </c>
      <c r="AD184" s="64" t="n">
        <f aca="false">IF(AB184,O184,IF(D184,MIN(O184,IF(E184,AC184*X184+BF183,BE184*Inputs!$G$20)),0))</f>
        <v>0</v>
      </c>
      <c r="AE184" s="64" t="n">
        <f aca="false">IF(AB184,P184,IF(D184,MAX(MIN(P184,X184-MIN(O184,AC184*X184)),0),0))</f>
        <v>0</v>
      </c>
      <c r="AF184" s="64" t="n">
        <f aca="false">IF(OR(AB184,E184),0,MAX(H184-I184-K184-L184,0))</f>
        <v>0</v>
      </c>
      <c r="AG184" s="64" t="n">
        <f aca="false">IF(E184,0,O184-AD184)</f>
        <v>0</v>
      </c>
      <c r="AH184" s="64" t="n">
        <f aca="false">IF(OR(AB184,E184),0,P184-AE184)</f>
        <v>0</v>
      </c>
      <c r="AI184" s="64" t="n">
        <f aca="false">IF(D184,R184+AD184,0)</f>
        <v>0</v>
      </c>
      <c r="AJ184" s="65" t="n">
        <f aca="false">(C184-Inputs!$G$6)/365</f>
        <v>43.4301369863014</v>
      </c>
      <c r="AK184" s="29" t="n">
        <f aca="false">AG184/Inputs!$C$10</f>
        <v>0</v>
      </c>
      <c r="AL184" s="5"/>
      <c r="AM184" s="66" t="n">
        <f aca="false">F184</f>
        <v>0.261111111111111</v>
      </c>
      <c r="AN184" s="5"/>
      <c r="AO184" s="5" t="n">
        <f aca="false">AO183+LN(1+($G184+AO$7)*$AM184)</f>
        <v>1.10261192200217</v>
      </c>
      <c r="AP184" s="5" t="n">
        <f aca="false">AP183+LN(1+($G184+AP$7)*$AM184)</f>
        <v>1.10698734987972</v>
      </c>
      <c r="AQ184" s="5" t="n">
        <f aca="false">AQ183+LN(1+($G184+AQ$7)*$AM184)</f>
        <v>1.24753148321891</v>
      </c>
      <c r="AR184" s="5" t="n">
        <f aca="false">AR183+LN(1+($G184+AR$7)*$AM184)</f>
        <v>1.25190326387473</v>
      </c>
      <c r="AS184" s="5" t="n">
        <f aca="false">AS183+LN(1+($G184+AS$7)*$AM184)</f>
        <v>1.24912062712889</v>
      </c>
      <c r="AT184" s="5" t="n">
        <f aca="false">AT183+LN(1+($G184+AT$7)*$AM184)</f>
        <v>1.25349236780727</v>
      </c>
      <c r="AU184" s="5" t="n">
        <f aca="false">AU183+LN(1+($G184+AU$7)*$AM184)</f>
        <v>1.24912028783155</v>
      </c>
      <c r="AV184" s="5" t="n">
        <f aca="false">AV183+LN(1+($G184+AV$7)*$AM184)</f>
        <v>1.25349202851846</v>
      </c>
      <c r="AW184" s="5" t="n">
        <f aca="false">AW183+LN(1+($G184+AW$7)*$AM184)</f>
        <v>1.24912028794535</v>
      </c>
      <c r="AX184" s="5" t="n">
        <f aca="false">AX183+LN(1+($G184+AX$7)*$AM184)</f>
        <v>1.25349202863226</v>
      </c>
      <c r="AY184" s="5" t="n">
        <f aca="false">AY183+LN(1+($G184+AY$7)*$AM184)</f>
        <v>1.24912028794532</v>
      </c>
      <c r="AZ184" s="5" t="n">
        <f aca="false">AZ183+LN(1+($G184+AZ$7)*$AM184)</f>
        <v>1.25349202863222</v>
      </c>
      <c r="BA184" s="5" t="n">
        <f aca="false">BA183+LN(1+($G184+BA$7)*$AM184)</f>
        <v>1.24912028794532</v>
      </c>
      <c r="BB184" s="5" t="n">
        <f aca="false">BB183+LN(1+($G184+BB$7)*$AM184)</f>
        <v>1.25349202863222</v>
      </c>
      <c r="BC184" s="5" t="n">
        <f aca="false">BC183+LN(1+($G184+BC$7)*$AM184)</f>
        <v>1.24912028794532</v>
      </c>
      <c r="BD184" s="5" t="n">
        <f aca="false">BD183+LN(1+($G184+BD$7)*$AM184)</f>
        <v>1.25349202863222</v>
      </c>
      <c r="BE184" s="5" t="n">
        <f aca="false">IF(AB184,O184,IF(D184,MIN(O184,AC184*X184+BF183),0))</f>
        <v>0</v>
      </c>
      <c r="BF184" s="5" t="n">
        <f aca="false">IF(OR(AB184,E184),0,BE184-AD184)</f>
        <v>0</v>
      </c>
      <c r="BG184" s="5" t="n">
        <f aca="false">BG183+LN(1+($G184+BG$7)*$AM184)</f>
        <v>1.20539683116677</v>
      </c>
      <c r="BH184" s="5"/>
      <c r="BI184" s="5" t="n">
        <f aca="false">BI183+LN(1+($G184+BI$7)*$AM184)</f>
        <v>1.2928327465499</v>
      </c>
      <c r="BJ184" s="5"/>
      <c r="BK184" s="62" t="n">
        <f aca="false">C184</f>
        <v>62141</v>
      </c>
      <c r="BL184" s="67" t="n">
        <f aca="false">AI184</f>
        <v>0</v>
      </c>
    </row>
    <row r="185" customFormat="false" ht="15" hidden="false" customHeight="true" outlineLevel="0" collapsed="false">
      <c r="A185" s="3" t="n">
        <v>175</v>
      </c>
      <c r="B185" s="38" t="n">
        <f aca="false">EDATE(Inputs!$C$8,3*(A185-1))</f>
        <v>62228</v>
      </c>
      <c r="C185" s="38" t="n">
        <f aca="false">WORKDAY(B185-1,1)</f>
        <v>62228</v>
      </c>
      <c r="D185" s="61" t="b">
        <f aca="false">C185&lt;=Inputs!$C$9</f>
        <v>0</v>
      </c>
      <c r="E185" s="61" t="b">
        <f aca="false">AND(D185,NOT(D186))</f>
        <v>0</v>
      </c>
      <c r="F185" s="63" t="n">
        <f aca="false">(C185-C184)/360</f>
        <v>0.241666666666667</v>
      </c>
      <c r="G185" s="57" t="n">
        <f aca="false">Curve!D178</f>
        <v>0.02252</v>
      </c>
      <c r="H185" s="64" t="n">
        <f aca="false">AF184</f>
        <v>0</v>
      </c>
      <c r="I185" s="64" t="n">
        <f aca="false">IF(D185,H185*Inputs!$G$22,0)</f>
        <v>0</v>
      </c>
      <c r="J185" s="32" t="n">
        <f aca="false">MAX(Inputs!$G$24-(A185-1),1)</f>
        <v>1</v>
      </c>
      <c r="K185" s="64" t="n">
        <f aca="false">IF(D185,MIN(H185-I185,IF(J185&gt;1,(H185-I185)*Inputs!$G$23/((1+Inputs!$G$23)^J185-1),H185-I185)),0)</f>
        <v>0</v>
      </c>
      <c r="L185" s="64" t="n">
        <f aca="false">IF(D185,(H185-I185-K185)*Inputs!$G$21,0)</f>
        <v>0</v>
      </c>
      <c r="M185" s="64" t="n">
        <f aca="false">IF(A185&gt;Inputs!$G$13,(1-Inputs!$G$12)*INDEX($I$11:$I$190,A185-Inputs!$G$13),0)</f>
        <v>0</v>
      </c>
      <c r="N185" s="64" t="n">
        <f aca="false">IF(D185,(H185-I185)*Inputs!$G$23,0)</f>
        <v>0</v>
      </c>
      <c r="O185" s="64" t="n">
        <f aca="false">AG184</f>
        <v>0</v>
      </c>
      <c r="P185" s="64" t="n">
        <f aca="false">AH184</f>
        <v>0</v>
      </c>
      <c r="Q185" s="64" t="n">
        <f aca="false">IF(AND(D185,O185+P185&gt;0),Inputs!$C$25+Inputs!$C$26*H185/4,0)</f>
        <v>0</v>
      </c>
      <c r="R185" s="64" t="n">
        <f aca="false">O185*IF(Inputs!$G$19="",G185+Inputs!$C$13,MAX(Inputs!$G$19,G185+Inputs!$C$13))*F185</f>
        <v>0</v>
      </c>
      <c r="S185" s="64" t="n">
        <f aca="false">P185*(G185+Inputs!$C$14)*F185</f>
        <v>0</v>
      </c>
      <c r="T185" s="64" t="n">
        <f aca="false">N185+M185-Q185-R185-S185</f>
        <v>0</v>
      </c>
      <c r="U185" s="64" t="n">
        <f aca="false">W184</f>
        <v>260422.420657149</v>
      </c>
      <c r="V185" s="64" t="n">
        <f aca="false">MIN(U185+I185,MAX(T185,0))</f>
        <v>0</v>
      </c>
      <c r="W185" s="64" t="n">
        <f aca="false">U185+I185-V185</f>
        <v>260422.420657149</v>
      </c>
      <c r="X185" s="64" t="n">
        <f aca="false">K185+L185+V185+IF(E185,H185-I185-K185-L185,0)</f>
        <v>0</v>
      </c>
      <c r="Y185" s="61" t="b">
        <f aca="false">AND(Inputs!$C$21=1,O185/Inputs!$C$10&lt;=Inputs!$C$22,Inputs!$G$14&lt;Inputs!$C$23,W185&lt;1)</f>
        <v>0</v>
      </c>
      <c r="Z185" s="61" t="b">
        <f aca="false">OR(AND(Inputs!$G$15=1,H185/Inputs!$C$17&lt;=Inputs!$C$24),AND(Inputs!$G$15=2,C185&gt;=Inputs!$G$16))</f>
        <v>0</v>
      </c>
      <c r="AA185" s="61" t="b">
        <f aca="false">OR(AA184,Z185)</f>
        <v>0</v>
      </c>
      <c r="AB185" s="61" t="b">
        <f aca="false">AND(Z185,NOT(AA184),D185,O185&gt;0)</f>
        <v>0</v>
      </c>
      <c r="AC185" s="63" t="n">
        <f aca="false">IF(AND(Y185,NOT(E185),O185+P185&gt;0),O185/(O185+P185),1)</f>
        <v>1</v>
      </c>
      <c r="AD185" s="64" t="n">
        <f aca="false">IF(AB185,O185,IF(D185,MIN(O185,IF(E185,AC185*X185+BF184,BE185*Inputs!$G$20)),0))</f>
        <v>0</v>
      </c>
      <c r="AE185" s="64" t="n">
        <f aca="false">IF(AB185,P185,IF(D185,MAX(MIN(P185,X185-MIN(O185,AC185*X185)),0),0))</f>
        <v>0</v>
      </c>
      <c r="AF185" s="64" t="n">
        <f aca="false">IF(OR(AB185,E185),0,MAX(H185-I185-K185-L185,0))</f>
        <v>0</v>
      </c>
      <c r="AG185" s="64" t="n">
        <f aca="false">IF(E185,0,O185-AD185)</f>
        <v>0</v>
      </c>
      <c r="AH185" s="64" t="n">
        <f aca="false">IF(OR(AB185,E185),0,P185-AE185)</f>
        <v>0</v>
      </c>
      <c r="AI185" s="64" t="n">
        <f aca="false">IF(D185,R185+AD185,0)</f>
        <v>0</v>
      </c>
      <c r="AJ185" s="65" t="n">
        <f aca="false">(C185-Inputs!$G$6)/365</f>
        <v>43.6684931506849</v>
      </c>
      <c r="AK185" s="29" t="n">
        <f aca="false">AG185/Inputs!$C$10</f>
        <v>0</v>
      </c>
      <c r="AL185" s="5"/>
      <c r="AM185" s="66" t="n">
        <f aca="false">F185</f>
        <v>0.241666666666667</v>
      </c>
      <c r="AN185" s="5"/>
      <c r="AO185" s="5" t="n">
        <f aca="false">AO184+LN(1+($G185+AO$7)*$AM185)</f>
        <v>1.10866423640813</v>
      </c>
      <c r="AP185" s="5" t="n">
        <f aca="false">AP184+LN(1+($G185+AP$7)*$AM185)</f>
        <v>1.11306368484132</v>
      </c>
      <c r="AQ185" s="5" t="n">
        <f aca="false">AQ184+LN(1+($G185+AQ$7)*$AM185)</f>
        <v>1.25437940280358</v>
      </c>
      <c r="AR185" s="5" t="n">
        <f aca="false">AR184+LN(1+($G185+AR$7)*$AM185)</f>
        <v>1.25877518491198</v>
      </c>
      <c r="AS185" s="5" t="n">
        <f aca="false">AS184+LN(1+($G185+AS$7)*$AM185)</f>
        <v>1.25597727124738</v>
      </c>
      <c r="AT185" s="5" t="n">
        <f aca="false">AT184+LN(1+($G185+AT$7)*$AM185)</f>
        <v>1.26037301316894</v>
      </c>
      <c r="AU185" s="5" t="n">
        <f aca="false">AU184+LN(1+($G185+AU$7)*$AM185)</f>
        <v>1.25597693008727</v>
      </c>
      <c r="AV185" s="5" t="n">
        <f aca="false">AV184+LN(1+($G185+AV$7)*$AM185)</f>
        <v>1.26037267201741</v>
      </c>
      <c r="AW185" s="5" t="n">
        <f aca="false">AW184+LN(1+($G185+AW$7)*$AM185)</f>
        <v>1.25597693020169</v>
      </c>
      <c r="AX185" s="5" t="n">
        <f aca="false">AX184+LN(1+($G185+AX$7)*$AM185)</f>
        <v>1.26037267213183</v>
      </c>
      <c r="AY185" s="5" t="n">
        <f aca="false">AY184+LN(1+($G185+AY$7)*$AM185)</f>
        <v>1.25597693020166</v>
      </c>
      <c r="AZ185" s="5" t="n">
        <f aca="false">AZ184+LN(1+($G185+AZ$7)*$AM185)</f>
        <v>1.26037267213179</v>
      </c>
      <c r="BA185" s="5" t="n">
        <f aca="false">BA184+LN(1+($G185+BA$7)*$AM185)</f>
        <v>1.25597693020166</v>
      </c>
      <c r="BB185" s="5" t="n">
        <f aca="false">BB184+LN(1+($G185+BB$7)*$AM185)</f>
        <v>1.26037267213179</v>
      </c>
      <c r="BC185" s="5" t="n">
        <f aca="false">BC184+LN(1+($G185+BC$7)*$AM185)</f>
        <v>1.25597693020166</v>
      </c>
      <c r="BD185" s="5" t="n">
        <f aca="false">BD184+LN(1+($G185+BD$7)*$AM185)</f>
        <v>1.26037267213179</v>
      </c>
      <c r="BE185" s="5" t="n">
        <f aca="false">IF(AB185,O185,IF(D185,MIN(O185,AC185*X185+BF184),0))</f>
        <v>0</v>
      </c>
      <c r="BF185" s="5" t="n">
        <f aca="false">IF(OR(AB185,E185),0,BE185-AD185)</f>
        <v>0</v>
      </c>
      <c r="BG185" s="5" t="n">
        <f aca="false">BG184+LN(1+($G185+BG$7)*$AM185)</f>
        <v>1.21201342930219</v>
      </c>
      <c r="BH185" s="5"/>
      <c r="BI185" s="5" t="n">
        <f aca="false">BI184+LN(1+($G185+BI$7)*$AM185)</f>
        <v>1.2999293753198</v>
      </c>
      <c r="BJ185" s="5"/>
      <c r="BK185" s="62" t="n">
        <f aca="false">C185</f>
        <v>62228</v>
      </c>
      <c r="BL185" s="67" t="n">
        <f aca="false">AI185</f>
        <v>0</v>
      </c>
    </row>
    <row r="186" customFormat="false" ht="15" hidden="false" customHeight="true" outlineLevel="0" collapsed="false">
      <c r="A186" s="3" t="n">
        <v>176</v>
      </c>
      <c r="B186" s="38" t="n">
        <f aca="false">EDATE(Inputs!$C$8,3*(A186-1))</f>
        <v>62320</v>
      </c>
      <c r="C186" s="38" t="n">
        <f aca="false">WORKDAY(B186-1,1)</f>
        <v>62320</v>
      </c>
      <c r="D186" s="61" t="b">
        <f aca="false">C186&lt;=Inputs!$C$9</f>
        <v>0</v>
      </c>
      <c r="E186" s="61" t="b">
        <f aca="false">AND(D186,NOT(D187))</f>
        <v>0</v>
      </c>
      <c r="F186" s="63" t="n">
        <f aca="false">(C186-C185)/360</f>
        <v>0.255555555555556</v>
      </c>
      <c r="G186" s="57" t="n">
        <f aca="false">Curve!D179</f>
        <v>0.02252</v>
      </c>
      <c r="H186" s="64" t="n">
        <f aca="false">AF185</f>
        <v>0</v>
      </c>
      <c r="I186" s="64" t="n">
        <f aca="false">IF(D186,H186*Inputs!$G$22,0)</f>
        <v>0</v>
      </c>
      <c r="J186" s="32" t="n">
        <f aca="false">MAX(Inputs!$G$24-(A186-1),1)</f>
        <v>1</v>
      </c>
      <c r="K186" s="64" t="n">
        <f aca="false">IF(D186,MIN(H186-I186,IF(J186&gt;1,(H186-I186)*Inputs!$G$23/((1+Inputs!$G$23)^J186-1),H186-I186)),0)</f>
        <v>0</v>
      </c>
      <c r="L186" s="64" t="n">
        <f aca="false">IF(D186,(H186-I186-K186)*Inputs!$G$21,0)</f>
        <v>0</v>
      </c>
      <c r="M186" s="64" t="n">
        <f aca="false">IF(A186&gt;Inputs!$G$13,(1-Inputs!$G$12)*INDEX($I$11:$I$190,A186-Inputs!$G$13),0)</f>
        <v>0</v>
      </c>
      <c r="N186" s="64" t="n">
        <f aca="false">IF(D186,(H186-I186)*Inputs!$G$23,0)</f>
        <v>0</v>
      </c>
      <c r="O186" s="64" t="n">
        <f aca="false">AG185</f>
        <v>0</v>
      </c>
      <c r="P186" s="64" t="n">
        <f aca="false">AH185</f>
        <v>0</v>
      </c>
      <c r="Q186" s="64" t="n">
        <f aca="false">IF(AND(D186,O186+P186&gt;0),Inputs!$C$25+Inputs!$C$26*H186/4,0)</f>
        <v>0</v>
      </c>
      <c r="R186" s="64" t="n">
        <f aca="false">O186*IF(Inputs!$G$19="",G186+Inputs!$C$13,MAX(Inputs!$G$19,G186+Inputs!$C$13))*F186</f>
        <v>0</v>
      </c>
      <c r="S186" s="64" t="n">
        <f aca="false">P186*(G186+Inputs!$C$14)*F186</f>
        <v>0</v>
      </c>
      <c r="T186" s="64" t="n">
        <f aca="false">N186+M186-Q186-R186-S186</f>
        <v>0</v>
      </c>
      <c r="U186" s="64" t="n">
        <f aca="false">W185</f>
        <v>260422.420657149</v>
      </c>
      <c r="V186" s="64" t="n">
        <f aca="false">MIN(U186+I186,MAX(T186,0))</f>
        <v>0</v>
      </c>
      <c r="W186" s="64" t="n">
        <f aca="false">U186+I186-V186</f>
        <v>260422.420657149</v>
      </c>
      <c r="X186" s="64" t="n">
        <f aca="false">K186+L186+V186+IF(E186,H186-I186-K186-L186,0)</f>
        <v>0</v>
      </c>
      <c r="Y186" s="61" t="b">
        <f aca="false">AND(Inputs!$C$21=1,O186/Inputs!$C$10&lt;=Inputs!$C$22,Inputs!$G$14&lt;Inputs!$C$23,W186&lt;1)</f>
        <v>0</v>
      </c>
      <c r="Z186" s="61" t="b">
        <f aca="false">OR(AND(Inputs!$G$15=1,H186/Inputs!$C$17&lt;=Inputs!$C$24),AND(Inputs!$G$15=2,C186&gt;=Inputs!$G$16))</f>
        <v>0</v>
      </c>
      <c r="AA186" s="61" t="b">
        <f aca="false">OR(AA185,Z186)</f>
        <v>0</v>
      </c>
      <c r="AB186" s="61" t="b">
        <f aca="false">AND(Z186,NOT(AA185),D186,O186&gt;0)</f>
        <v>0</v>
      </c>
      <c r="AC186" s="63" t="n">
        <f aca="false">IF(AND(Y186,NOT(E186),O186+P186&gt;0),O186/(O186+P186),1)</f>
        <v>1</v>
      </c>
      <c r="AD186" s="64" t="n">
        <f aca="false">IF(AB186,O186,IF(D186,MIN(O186,IF(E186,AC186*X186+BF185,BE186*Inputs!$G$20)),0))</f>
        <v>0</v>
      </c>
      <c r="AE186" s="64" t="n">
        <f aca="false">IF(AB186,P186,IF(D186,MAX(MIN(P186,X186-MIN(O186,AC186*X186)),0),0))</f>
        <v>0</v>
      </c>
      <c r="AF186" s="64" t="n">
        <f aca="false">IF(OR(AB186,E186),0,MAX(H186-I186-K186-L186,0))</f>
        <v>0</v>
      </c>
      <c r="AG186" s="64" t="n">
        <f aca="false">IF(E186,0,O186-AD186)</f>
        <v>0</v>
      </c>
      <c r="AH186" s="64" t="n">
        <f aca="false">IF(OR(AB186,E186),0,P186-AE186)</f>
        <v>0</v>
      </c>
      <c r="AI186" s="64" t="n">
        <f aca="false">IF(D186,R186+AD186,0)</f>
        <v>0</v>
      </c>
      <c r="AJ186" s="65" t="n">
        <f aca="false">(C186-Inputs!$G$6)/365</f>
        <v>43.9205479452055</v>
      </c>
      <c r="AK186" s="29" t="n">
        <f aca="false">AG186/Inputs!$C$10</f>
        <v>0</v>
      </c>
      <c r="AL186" s="5"/>
      <c r="AM186" s="66" t="n">
        <f aca="false">F186</f>
        <v>0.255555555555556</v>
      </c>
      <c r="AN186" s="5"/>
      <c r="AO186" s="5" t="n">
        <f aca="false">AO185+LN(1+($G186+AO$7)*$AM186)</f>
        <v>1.11506327437929</v>
      </c>
      <c r="AP186" s="5" t="n">
        <f aca="false">AP185+LN(1+($G186+AP$7)*$AM186)</f>
        <v>1.11948811503678</v>
      </c>
      <c r="AQ186" s="5" t="n">
        <f aca="false">AQ185+LN(1+($G186+AQ$7)*$AM186)</f>
        <v>1.26161945963106</v>
      </c>
      <c r="AR186" s="5" t="n">
        <f aca="false">AR185+LN(1+($G186+AR$7)*$AM186)</f>
        <v>1.26604061261768</v>
      </c>
      <c r="AS186" s="5" t="n">
        <f aca="false">AS185+LN(1+($G186+AS$7)*$AM186)</f>
        <v>1.26322655039925</v>
      </c>
      <c r="AT186" s="5" t="n">
        <f aca="false">AT185+LN(1+($G186+AT$7)*$AM186)</f>
        <v>1.26764766296504</v>
      </c>
      <c r="AU186" s="5" t="n">
        <f aca="false">AU185+LN(1+($G186+AU$7)*$AM186)</f>
        <v>1.26322620727008</v>
      </c>
      <c r="AV186" s="5" t="n">
        <f aca="false">AV185+LN(1+($G186+AV$7)*$AM186)</f>
        <v>1.26764731984451</v>
      </c>
      <c r="AW186" s="5" t="n">
        <f aca="false">AW185+LN(1+($G186+AW$7)*$AM186)</f>
        <v>1.26322620738516</v>
      </c>
      <c r="AX186" s="5" t="n">
        <f aca="false">AX185+LN(1+($G186+AX$7)*$AM186)</f>
        <v>1.26764731995959</v>
      </c>
      <c r="AY186" s="5" t="n">
        <f aca="false">AY185+LN(1+($G186+AY$7)*$AM186)</f>
        <v>1.26322620738514</v>
      </c>
      <c r="AZ186" s="5" t="n">
        <f aca="false">AZ185+LN(1+($G186+AZ$7)*$AM186)</f>
        <v>1.26764731995955</v>
      </c>
      <c r="BA186" s="5" t="n">
        <f aca="false">BA185+LN(1+($G186+BA$7)*$AM186)</f>
        <v>1.26322620738514</v>
      </c>
      <c r="BB186" s="5" t="n">
        <f aca="false">BB185+LN(1+($G186+BB$7)*$AM186)</f>
        <v>1.26764731995955</v>
      </c>
      <c r="BC186" s="5" t="n">
        <f aca="false">BC185+LN(1+($G186+BC$7)*$AM186)</f>
        <v>1.26322620738514</v>
      </c>
      <c r="BD186" s="5" t="n">
        <f aca="false">BD185+LN(1+($G186+BD$7)*$AM186)</f>
        <v>1.26764731995955</v>
      </c>
      <c r="BE186" s="5" t="n">
        <f aca="false">IF(AB186,O186,IF(D186,MIN(O186,AC186*X186+BF185),0))</f>
        <v>0</v>
      </c>
      <c r="BF186" s="5" t="n">
        <f aca="false">IF(OR(AB186,E186),0,BE186-AD186)</f>
        <v>0</v>
      </c>
      <c r="BG186" s="5" t="n">
        <f aca="false">BG185+LN(1+($G186+BG$7)*$AM186)</f>
        <v>1.21900896463464</v>
      </c>
      <c r="BH186" s="5"/>
      <c r="BI186" s="5" t="n">
        <f aca="false">BI185+LN(1+($G186+BI$7)*$AM186)</f>
        <v>1.3074323299857</v>
      </c>
      <c r="BJ186" s="5"/>
      <c r="BK186" s="62" t="n">
        <f aca="false">C186</f>
        <v>62320</v>
      </c>
      <c r="BL186" s="67" t="n">
        <f aca="false">AI186</f>
        <v>0</v>
      </c>
    </row>
    <row r="187" customFormat="false" ht="15" hidden="false" customHeight="true" outlineLevel="0" collapsed="false">
      <c r="A187" s="3" t="n">
        <v>177</v>
      </c>
      <c r="B187" s="38" t="n">
        <f aca="false">EDATE(Inputs!$C$8,3*(A187-1))</f>
        <v>62412</v>
      </c>
      <c r="C187" s="38" t="n">
        <f aca="false">WORKDAY(B187-1,1)</f>
        <v>62414</v>
      </c>
      <c r="D187" s="61" t="b">
        <f aca="false">C187&lt;=Inputs!$C$9</f>
        <v>0</v>
      </c>
      <c r="E187" s="61" t="b">
        <f aca="false">AND(D187,NOT(D188))</f>
        <v>0</v>
      </c>
      <c r="F187" s="63" t="n">
        <f aca="false">(C187-C186)/360</f>
        <v>0.261111111111111</v>
      </c>
      <c r="G187" s="57" t="n">
        <f aca="false">Curve!D180</f>
        <v>0.02252</v>
      </c>
      <c r="H187" s="64" t="n">
        <f aca="false">AF186</f>
        <v>0</v>
      </c>
      <c r="I187" s="64" t="n">
        <f aca="false">IF(D187,H187*Inputs!$G$22,0)</f>
        <v>0</v>
      </c>
      <c r="J187" s="32" t="n">
        <f aca="false">MAX(Inputs!$G$24-(A187-1),1)</f>
        <v>1</v>
      </c>
      <c r="K187" s="64" t="n">
        <f aca="false">IF(D187,MIN(H187-I187,IF(J187&gt;1,(H187-I187)*Inputs!$G$23/((1+Inputs!$G$23)^J187-1),H187-I187)),0)</f>
        <v>0</v>
      </c>
      <c r="L187" s="64" t="n">
        <f aca="false">IF(D187,(H187-I187-K187)*Inputs!$G$21,0)</f>
        <v>0</v>
      </c>
      <c r="M187" s="64" t="n">
        <f aca="false">IF(A187&gt;Inputs!$G$13,(1-Inputs!$G$12)*INDEX($I$11:$I$190,A187-Inputs!$G$13),0)</f>
        <v>0</v>
      </c>
      <c r="N187" s="64" t="n">
        <f aca="false">IF(D187,(H187-I187)*Inputs!$G$23,0)</f>
        <v>0</v>
      </c>
      <c r="O187" s="64" t="n">
        <f aca="false">AG186</f>
        <v>0</v>
      </c>
      <c r="P187" s="64" t="n">
        <f aca="false">AH186</f>
        <v>0</v>
      </c>
      <c r="Q187" s="64" t="n">
        <f aca="false">IF(AND(D187,O187+P187&gt;0),Inputs!$C$25+Inputs!$C$26*H187/4,0)</f>
        <v>0</v>
      </c>
      <c r="R187" s="64" t="n">
        <f aca="false">O187*IF(Inputs!$G$19="",G187+Inputs!$C$13,MAX(Inputs!$G$19,G187+Inputs!$C$13))*F187</f>
        <v>0</v>
      </c>
      <c r="S187" s="64" t="n">
        <f aca="false">P187*(G187+Inputs!$C$14)*F187</f>
        <v>0</v>
      </c>
      <c r="T187" s="64" t="n">
        <f aca="false">N187+M187-Q187-R187-S187</f>
        <v>0</v>
      </c>
      <c r="U187" s="64" t="n">
        <f aca="false">W186</f>
        <v>260422.420657149</v>
      </c>
      <c r="V187" s="64" t="n">
        <f aca="false">MIN(U187+I187,MAX(T187,0))</f>
        <v>0</v>
      </c>
      <c r="W187" s="64" t="n">
        <f aca="false">U187+I187-V187</f>
        <v>260422.420657149</v>
      </c>
      <c r="X187" s="64" t="n">
        <f aca="false">K187+L187+V187+IF(E187,H187-I187-K187-L187,0)</f>
        <v>0</v>
      </c>
      <c r="Y187" s="61" t="b">
        <f aca="false">AND(Inputs!$C$21=1,O187/Inputs!$C$10&lt;=Inputs!$C$22,Inputs!$G$14&lt;Inputs!$C$23,W187&lt;1)</f>
        <v>0</v>
      </c>
      <c r="Z187" s="61" t="b">
        <f aca="false">OR(AND(Inputs!$G$15=1,H187/Inputs!$C$17&lt;=Inputs!$C$24),AND(Inputs!$G$15=2,C187&gt;=Inputs!$G$16))</f>
        <v>0</v>
      </c>
      <c r="AA187" s="61" t="b">
        <f aca="false">OR(AA186,Z187)</f>
        <v>0</v>
      </c>
      <c r="AB187" s="61" t="b">
        <f aca="false">AND(Z187,NOT(AA186),D187,O187&gt;0)</f>
        <v>0</v>
      </c>
      <c r="AC187" s="63" t="n">
        <f aca="false">IF(AND(Y187,NOT(E187),O187+P187&gt;0),O187/(O187+P187),1)</f>
        <v>1</v>
      </c>
      <c r="AD187" s="64" t="n">
        <f aca="false">IF(AB187,O187,IF(D187,MIN(O187,IF(E187,AC187*X187+BF186,BE187*Inputs!$G$20)),0))</f>
        <v>0</v>
      </c>
      <c r="AE187" s="64" t="n">
        <f aca="false">IF(AB187,P187,IF(D187,MAX(MIN(P187,X187-MIN(O187,AC187*X187)),0),0))</f>
        <v>0</v>
      </c>
      <c r="AF187" s="64" t="n">
        <f aca="false">IF(OR(AB187,E187),0,MAX(H187-I187-K187-L187,0))</f>
        <v>0</v>
      </c>
      <c r="AG187" s="64" t="n">
        <f aca="false">IF(E187,0,O187-AD187)</f>
        <v>0</v>
      </c>
      <c r="AH187" s="64" t="n">
        <f aca="false">IF(OR(AB187,E187),0,P187-AE187)</f>
        <v>0</v>
      </c>
      <c r="AI187" s="64" t="n">
        <f aca="false">IF(D187,R187+AD187,0)</f>
        <v>0</v>
      </c>
      <c r="AJ187" s="65" t="n">
        <f aca="false">(C187-Inputs!$G$6)/365</f>
        <v>44.1780821917808</v>
      </c>
      <c r="AK187" s="29" t="n">
        <f aca="false">AG187/Inputs!$C$10</f>
        <v>0</v>
      </c>
      <c r="AL187" s="5"/>
      <c r="AM187" s="66" t="n">
        <f aca="false">F187</f>
        <v>0.261111111111111</v>
      </c>
      <c r="AN187" s="5"/>
      <c r="AO187" s="5" t="n">
        <f aca="false">AO186+LN(1+($G187+AO$7)*$AM187)</f>
        <v>1.1216009681227</v>
      </c>
      <c r="AP187" s="5" t="n">
        <f aca="false">AP186+LN(1+($G187+AP$7)*$AM187)</f>
        <v>1.1260517494052</v>
      </c>
      <c r="AQ187" s="5" t="n">
        <f aca="false">AQ186+LN(1+($G187+AQ$7)*$AM187)</f>
        <v>1.26901632830974</v>
      </c>
      <c r="AR187" s="5" t="n">
        <f aca="false">AR186+LN(1+($G187+AR$7)*$AM187)</f>
        <v>1.27346339964368</v>
      </c>
      <c r="AS187" s="5" t="n">
        <f aca="false">AS186+LN(1+($G187+AS$7)*$AM187)</f>
        <v>1.27063284040919</v>
      </c>
      <c r="AT187" s="5" t="n">
        <f aca="false">AT186+LN(1+($G187+AT$7)*$AM187)</f>
        <v>1.27507987107814</v>
      </c>
      <c r="AU187" s="5" t="n">
        <f aca="false">AU186+LN(1+($G187+AU$7)*$AM187)</f>
        <v>1.27063249526849</v>
      </c>
      <c r="AV187" s="5" t="n">
        <f aca="false">AV186+LN(1+($G187+AV$7)*$AM187)</f>
        <v>1.27507952594611</v>
      </c>
      <c r="AW187" s="5" t="n">
        <f aca="false">AW186+LN(1+($G187+AW$7)*$AM187)</f>
        <v>1.27063249538424</v>
      </c>
      <c r="AX187" s="5" t="n">
        <f aca="false">AX186+LN(1+($G187+AX$7)*$AM187)</f>
        <v>1.27507952606187</v>
      </c>
      <c r="AY187" s="5" t="n">
        <f aca="false">AY186+LN(1+($G187+AY$7)*$AM187)</f>
        <v>1.27063249538422</v>
      </c>
      <c r="AZ187" s="5" t="n">
        <f aca="false">AZ186+LN(1+($G187+AZ$7)*$AM187)</f>
        <v>1.27507952606183</v>
      </c>
      <c r="BA187" s="5" t="n">
        <f aca="false">BA186+LN(1+($G187+BA$7)*$AM187)</f>
        <v>1.27063249538422</v>
      </c>
      <c r="BB187" s="5" t="n">
        <f aca="false">BB186+LN(1+($G187+BB$7)*$AM187)</f>
        <v>1.27507952606183</v>
      </c>
      <c r="BC187" s="5" t="n">
        <f aca="false">BC186+LN(1+($G187+BC$7)*$AM187)</f>
        <v>1.27063249538422</v>
      </c>
      <c r="BD187" s="5" t="n">
        <f aca="false">BD186+LN(1+($G187+BD$7)*$AM187)</f>
        <v>1.27507952606183</v>
      </c>
      <c r="BE187" s="5" t="n">
        <f aca="false">IF(AB187,O187,IF(D187,MIN(O187,AC187*X187+BF186),0))</f>
        <v>0</v>
      </c>
      <c r="BF187" s="5" t="n">
        <f aca="false">IF(OR(AB187,E187),0,BE187-AD187)</f>
        <v>0</v>
      </c>
      <c r="BG187" s="5" t="n">
        <f aca="false">BG186+LN(1+($G187+BG$7)*$AM187)</f>
        <v>1.22615603464889</v>
      </c>
      <c r="BH187" s="5"/>
      <c r="BI187" s="5" t="n">
        <f aca="false">BI186+LN(1+($G187+BI$7)*$AM187)</f>
        <v>1.31509776879306</v>
      </c>
      <c r="BJ187" s="5"/>
      <c r="BK187" s="62" t="n">
        <f aca="false">C187</f>
        <v>62414</v>
      </c>
      <c r="BL187" s="67" t="n">
        <f aca="false">AI187</f>
        <v>0</v>
      </c>
    </row>
    <row r="188" customFormat="false" ht="15" hidden="false" customHeight="true" outlineLevel="0" collapsed="false">
      <c r="A188" s="3" t="n">
        <v>178</v>
      </c>
      <c r="B188" s="38" t="n">
        <f aca="false">EDATE(Inputs!$C$8,3*(A188-1))</f>
        <v>62504</v>
      </c>
      <c r="C188" s="38" t="n">
        <f aca="false">WORKDAY(B188-1,1)</f>
        <v>62505</v>
      </c>
      <c r="D188" s="61" t="b">
        <f aca="false">C188&lt;=Inputs!$C$9</f>
        <v>0</v>
      </c>
      <c r="E188" s="61" t="b">
        <f aca="false">AND(D188,NOT(D189))</f>
        <v>0</v>
      </c>
      <c r="F188" s="63" t="n">
        <f aca="false">(C188-C187)/360</f>
        <v>0.252777777777778</v>
      </c>
      <c r="G188" s="57" t="n">
        <f aca="false">Curve!D181</f>
        <v>0.02252</v>
      </c>
      <c r="H188" s="64" t="n">
        <f aca="false">AF187</f>
        <v>0</v>
      </c>
      <c r="I188" s="64" t="n">
        <f aca="false">IF(D188,H188*Inputs!$G$22,0)</f>
        <v>0</v>
      </c>
      <c r="J188" s="32" t="n">
        <f aca="false">MAX(Inputs!$G$24-(A188-1),1)</f>
        <v>1</v>
      </c>
      <c r="K188" s="64" t="n">
        <f aca="false">IF(D188,MIN(H188-I188,IF(J188&gt;1,(H188-I188)*Inputs!$G$23/((1+Inputs!$G$23)^J188-1),H188-I188)),0)</f>
        <v>0</v>
      </c>
      <c r="L188" s="64" t="n">
        <f aca="false">IF(D188,(H188-I188-K188)*Inputs!$G$21,0)</f>
        <v>0</v>
      </c>
      <c r="M188" s="64" t="n">
        <f aca="false">IF(A188&gt;Inputs!$G$13,(1-Inputs!$G$12)*INDEX($I$11:$I$190,A188-Inputs!$G$13),0)</f>
        <v>0</v>
      </c>
      <c r="N188" s="64" t="n">
        <f aca="false">IF(D188,(H188-I188)*Inputs!$G$23,0)</f>
        <v>0</v>
      </c>
      <c r="O188" s="64" t="n">
        <f aca="false">AG187</f>
        <v>0</v>
      </c>
      <c r="P188" s="64" t="n">
        <f aca="false">AH187</f>
        <v>0</v>
      </c>
      <c r="Q188" s="64" t="n">
        <f aca="false">IF(AND(D188,O188+P188&gt;0),Inputs!$C$25+Inputs!$C$26*H188/4,0)</f>
        <v>0</v>
      </c>
      <c r="R188" s="64" t="n">
        <f aca="false">O188*IF(Inputs!$G$19="",G188+Inputs!$C$13,MAX(Inputs!$G$19,G188+Inputs!$C$13))*F188</f>
        <v>0</v>
      </c>
      <c r="S188" s="64" t="n">
        <f aca="false">P188*(G188+Inputs!$C$14)*F188</f>
        <v>0</v>
      </c>
      <c r="T188" s="64" t="n">
        <f aca="false">N188+M188-Q188-R188-S188</f>
        <v>0</v>
      </c>
      <c r="U188" s="64" t="n">
        <f aca="false">W187</f>
        <v>260422.420657149</v>
      </c>
      <c r="V188" s="64" t="n">
        <f aca="false">MIN(U188+I188,MAX(T188,0))</f>
        <v>0</v>
      </c>
      <c r="W188" s="64" t="n">
        <f aca="false">U188+I188-V188</f>
        <v>260422.420657149</v>
      </c>
      <c r="X188" s="64" t="n">
        <f aca="false">K188+L188+V188+IF(E188,H188-I188-K188-L188,0)</f>
        <v>0</v>
      </c>
      <c r="Y188" s="61" t="b">
        <f aca="false">AND(Inputs!$C$21=1,O188/Inputs!$C$10&lt;=Inputs!$C$22,Inputs!$G$14&lt;Inputs!$C$23,W188&lt;1)</f>
        <v>0</v>
      </c>
      <c r="Z188" s="61" t="b">
        <f aca="false">OR(AND(Inputs!$G$15=1,H188/Inputs!$C$17&lt;=Inputs!$C$24),AND(Inputs!$G$15=2,C188&gt;=Inputs!$G$16))</f>
        <v>0</v>
      </c>
      <c r="AA188" s="61" t="b">
        <f aca="false">OR(AA187,Z188)</f>
        <v>0</v>
      </c>
      <c r="AB188" s="61" t="b">
        <f aca="false">AND(Z188,NOT(AA187),D188,O188&gt;0)</f>
        <v>0</v>
      </c>
      <c r="AC188" s="63" t="n">
        <f aca="false">IF(AND(Y188,NOT(E188),O188+P188&gt;0),O188/(O188+P188),1)</f>
        <v>1</v>
      </c>
      <c r="AD188" s="64" t="n">
        <f aca="false">IF(AB188,O188,IF(D188,MIN(O188,IF(E188,AC188*X188+BF187,BE188*Inputs!$G$20)),0))</f>
        <v>0</v>
      </c>
      <c r="AE188" s="64" t="n">
        <f aca="false">IF(AB188,P188,IF(D188,MAX(MIN(P188,X188-MIN(O188,AC188*X188)),0),0))</f>
        <v>0</v>
      </c>
      <c r="AF188" s="64" t="n">
        <f aca="false">IF(OR(AB188,E188),0,MAX(H188-I188-K188-L188,0))</f>
        <v>0</v>
      </c>
      <c r="AG188" s="64" t="n">
        <f aca="false">IF(E188,0,O188-AD188)</f>
        <v>0</v>
      </c>
      <c r="AH188" s="64" t="n">
        <f aca="false">IF(OR(AB188,E188),0,P188-AE188)</f>
        <v>0</v>
      </c>
      <c r="AI188" s="64" t="n">
        <f aca="false">IF(D188,R188+AD188,0)</f>
        <v>0</v>
      </c>
      <c r="AJ188" s="65" t="n">
        <f aca="false">(C188-Inputs!$G$6)/365</f>
        <v>44.427397260274</v>
      </c>
      <c r="AK188" s="29" t="n">
        <f aca="false">AG188/Inputs!$C$10</f>
        <v>0</v>
      </c>
      <c r="AL188" s="5"/>
      <c r="AM188" s="66" t="n">
        <f aca="false">F188</f>
        <v>0.252777777777778</v>
      </c>
      <c r="AN188" s="5"/>
      <c r="AO188" s="5" t="n">
        <f aca="false">AO187+LN(1+($G188+AO$7)*$AM188)</f>
        <v>1.12793067099753</v>
      </c>
      <c r="AP188" s="5" t="n">
        <f aca="false">AP187+LN(1+($G188+AP$7)*$AM188)</f>
        <v>1.13240657024683</v>
      </c>
      <c r="AQ188" s="5" t="n">
        <f aca="false">AQ187+LN(1+($G188+AQ$7)*$AM188)</f>
        <v>1.27617796998942</v>
      </c>
      <c r="AR188" s="5" t="n">
        <f aca="false">AR187+LN(1+($G188+AR$7)*$AM188)</f>
        <v>1.28065013840252</v>
      </c>
      <c r="AS188" s="5" t="n">
        <f aca="false">AS187+LN(1+($G188+AS$7)*$AM188)</f>
        <v>1.2778036048864</v>
      </c>
      <c r="AT188" s="5" t="n">
        <f aca="false">AT187+LN(1+($G188+AT$7)*$AM188)</f>
        <v>1.28227573240554</v>
      </c>
      <c r="AU188" s="5" t="n">
        <f aca="false">AU187+LN(1+($G188+AU$7)*$AM188)</f>
        <v>1.27780325779789</v>
      </c>
      <c r="AV188" s="5" t="n">
        <f aca="false">AV187+LN(1+($G188+AV$7)*$AM188)</f>
        <v>1.28227538532576</v>
      </c>
      <c r="AW188" s="5" t="n">
        <f aca="false">AW187+LN(1+($G188+AW$7)*$AM188)</f>
        <v>1.27780325791429</v>
      </c>
      <c r="AX188" s="5" t="n">
        <f aca="false">AX187+LN(1+($G188+AX$7)*$AM188)</f>
        <v>1.28227538544217</v>
      </c>
      <c r="AY188" s="5" t="n">
        <f aca="false">AY187+LN(1+($G188+AY$7)*$AM188)</f>
        <v>1.27780325791427</v>
      </c>
      <c r="AZ188" s="5" t="n">
        <f aca="false">AZ187+LN(1+($G188+AZ$7)*$AM188)</f>
        <v>1.28227538544213</v>
      </c>
      <c r="BA188" s="5" t="n">
        <f aca="false">BA187+LN(1+($G188+BA$7)*$AM188)</f>
        <v>1.27780325791427</v>
      </c>
      <c r="BB188" s="5" t="n">
        <f aca="false">BB187+LN(1+($G188+BB$7)*$AM188)</f>
        <v>1.28227538544213</v>
      </c>
      <c r="BC188" s="5" t="n">
        <f aca="false">BC187+LN(1+($G188+BC$7)*$AM188)</f>
        <v>1.27780325791427</v>
      </c>
      <c r="BD188" s="5" t="n">
        <f aca="false">BD187+LN(1+($G188+BD$7)*$AM188)</f>
        <v>1.28227538544213</v>
      </c>
      <c r="BE188" s="5" t="n">
        <f aca="false">IF(AB188,O188,IF(D188,MIN(O188,AC188*X188+BF187),0))</f>
        <v>0</v>
      </c>
      <c r="BF188" s="5" t="n">
        <f aca="false">IF(OR(AB188,E188),0,BE188-AD188)</f>
        <v>0</v>
      </c>
      <c r="BG188" s="5" t="n">
        <f aca="false">BG187+LN(1+($G188+BG$7)*$AM188)</f>
        <v>1.23307579402854</v>
      </c>
      <c r="BH188" s="5"/>
      <c r="BI188" s="5" t="n">
        <f aca="false">BI187+LN(1+($G188+BI$7)*$AM188)</f>
        <v>1.32251947148675</v>
      </c>
      <c r="BJ188" s="5"/>
      <c r="BK188" s="62" t="n">
        <f aca="false">C188</f>
        <v>62505</v>
      </c>
      <c r="BL188" s="67" t="n">
        <f aca="false">AI188</f>
        <v>0</v>
      </c>
    </row>
    <row r="189" customFormat="false" ht="15" hidden="false" customHeight="true" outlineLevel="0" collapsed="false">
      <c r="A189" s="3" t="n">
        <v>179</v>
      </c>
      <c r="B189" s="38" t="n">
        <f aca="false">EDATE(Inputs!$C$8,3*(A189-1))</f>
        <v>62593</v>
      </c>
      <c r="C189" s="38" t="n">
        <f aca="false">WORKDAY(B189-1,1)</f>
        <v>62593</v>
      </c>
      <c r="D189" s="61" t="b">
        <f aca="false">C189&lt;=Inputs!$C$9</f>
        <v>0</v>
      </c>
      <c r="E189" s="61" t="b">
        <f aca="false">AND(D189,NOT(D190))</f>
        <v>0</v>
      </c>
      <c r="F189" s="63" t="n">
        <f aca="false">(C189-C188)/360</f>
        <v>0.244444444444444</v>
      </c>
      <c r="G189" s="57" t="n">
        <f aca="false">Curve!D182</f>
        <v>0.02252</v>
      </c>
      <c r="H189" s="64" t="n">
        <f aca="false">AF188</f>
        <v>0</v>
      </c>
      <c r="I189" s="64" t="n">
        <f aca="false">IF(D189,H189*Inputs!$G$22,0)</f>
        <v>0</v>
      </c>
      <c r="J189" s="32" t="n">
        <f aca="false">MAX(Inputs!$G$24-(A189-1),1)</f>
        <v>1</v>
      </c>
      <c r="K189" s="64" t="n">
        <f aca="false">IF(D189,MIN(H189-I189,IF(J189&gt;1,(H189-I189)*Inputs!$G$23/((1+Inputs!$G$23)^J189-1),H189-I189)),0)</f>
        <v>0</v>
      </c>
      <c r="L189" s="64" t="n">
        <f aca="false">IF(D189,(H189-I189-K189)*Inputs!$G$21,0)</f>
        <v>0</v>
      </c>
      <c r="M189" s="64" t="n">
        <f aca="false">IF(A189&gt;Inputs!$G$13,(1-Inputs!$G$12)*INDEX($I$11:$I$190,A189-Inputs!$G$13),0)</f>
        <v>0</v>
      </c>
      <c r="N189" s="64" t="n">
        <f aca="false">IF(D189,(H189-I189)*Inputs!$G$23,0)</f>
        <v>0</v>
      </c>
      <c r="O189" s="64" t="n">
        <f aca="false">AG188</f>
        <v>0</v>
      </c>
      <c r="P189" s="64" t="n">
        <f aca="false">AH188</f>
        <v>0</v>
      </c>
      <c r="Q189" s="64" t="n">
        <f aca="false">IF(AND(D189,O189+P189&gt;0),Inputs!$C$25+Inputs!$C$26*H189/4,0)</f>
        <v>0</v>
      </c>
      <c r="R189" s="64" t="n">
        <f aca="false">O189*IF(Inputs!$G$19="",G189+Inputs!$C$13,MAX(Inputs!$G$19,G189+Inputs!$C$13))*F189</f>
        <v>0</v>
      </c>
      <c r="S189" s="64" t="n">
        <f aca="false">P189*(G189+Inputs!$C$14)*F189</f>
        <v>0</v>
      </c>
      <c r="T189" s="64" t="n">
        <f aca="false">N189+M189-Q189-R189-S189</f>
        <v>0</v>
      </c>
      <c r="U189" s="64" t="n">
        <f aca="false">W188</f>
        <v>260422.420657149</v>
      </c>
      <c r="V189" s="64" t="n">
        <f aca="false">MIN(U189+I189,MAX(T189,0))</f>
        <v>0</v>
      </c>
      <c r="W189" s="64" t="n">
        <f aca="false">U189+I189-V189</f>
        <v>260422.420657149</v>
      </c>
      <c r="X189" s="64" t="n">
        <f aca="false">K189+L189+V189+IF(E189,H189-I189-K189-L189,0)</f>
        <v>0</v>
      </c>
      <c r="Y189" s="61" t="b">
        <f aca="false">AND(Inputs!$C$21=1,O189/Inputs!$C$10&lt;=Inputs!$C$22,Inputs!$G$14&lt;Inputs!$C$23,W189&lt;1)</f>
        <v>0</v>
      </c>
      <c r="Z189" s="61" t="b">
        <f aca="false">OR(AND(Inputs!$G$15=1,H189/Inputs!$C$17&lt;=Inputs!$C$24),AND(Inputs!$G$15=2,C189&gt;=Inputs!$G$16))</f>
        <v>0</v>
      </c>
      <c r="AA189" s="61" t="b">
        <f aca="false">OR(AA188,Z189)</f>
        <v>0</v>
      </c>
      <c r="AB189" s="61" t="b">
        <f aca="false">AND(Z189,NOT(AA188),D189,O189&gt;0)</f>
        <v>0</v>
      </c>
      <c r="AC189" s="63" t="n">
        <f aca="false">IF(AND(Y189,NOT(E189),O189+P189&gt;0),O189/(O189+P189),1)</f>
        <v>1</v>
      </c>
      <c r="AD189" s="64" t="n">
        <f aca="false">IF(AB189,O189,IF(D189,MIN(O189,IF(E189,AC189*X189+BF188,BE189*Inputs!$G$20)),0))</f>
        <v>0</v>
      </c>
      <c r="AE189" s="64" t="n">
        <f aca="false">IF(AB189,P189,IF(D189,MAX(MIN(P189,X189-MIN(O189,AC189*X189)),0),0))</f>
        <v>0</v>
      </c>
      <c r="AF189" s="64" t="n">
        <f aca="false">IF(OR(AB189,E189),0,MAX(H189-I189-K189-L189,0))</f>
        <v>0</v>
      </c>
      <c r="AG189" s="64" t="n">
        <f aca="false">IF(E189,0,O189-AD189)</f>
        <v>0</v>
      </c>
      <c r="AH189" s="64" t="n">
        <f aca="false">IF(OR(AB189,E189),0,P189-AE189)</f>
        <v>0</v>
      </c>
      <c r="AI189" s="64" t="n">
        <f aca="false">IF(D189,R189+AD189,0)</f>
        <v>0</v>
      </c>
      <c r="AJ189" s="65" t="n">
        <f aca="false">(C189-Inputs!$G$6)/365</f>
        <v>44.6684931506849</v>
      </c>
      <c r="AK189" s="29" t="n">
        <f aca="false">AG189/Inputs!$C$10</f>
        <v>0</v>
      </c>
      <c r="AL189" s="5"/>
      <c r="AM189" s="66" t="n">
        <f aca="false">F189</f>
        <v>0.244444444444444</v>
      </c>
      <c r="AN189" s="5"/>
      <c r="AO189" s="5" t="n">
        <f aca="false">AO188+LN(1+($G189+AO$7)*$AM189)</f>
        <v>1.13405233973458</v>
      </c>
      <c r="AP189" s="5" t="n">
        <f aca="false">AP188+LN(1+($G189+AP$7)*$AM189)</f>
        <v>1.1385525339495</v>
      </c>
      <c r="AQ189" s="5" t="n">
        <f aca="false">AQ188+LN(1+($G189+AQ$7)*$AM189)</f>
        <v>1.28310432932535</v>
      </c>
      <c r="AR189" s="5" t="n">
        <f aca="false">AR188+LN(1+($G189+AR$7)*$AM189)</f>
        <v>1.28760077316223</v>
      </c>
      <c r="AS189" s="5" t="n">
        <f aca="false">AS188+LN(1+($G189+AS$7)*$AM189)</f>
        <v>1.28473878834551</v>
      </c>
      <c r="AT189" s="5" t="n">
        <f aca="false">AT188+LN(1+($G189+AT$7)*$AM189)</f>
        <v>1.28923519107424</v>
      </c>
      <c r="AU189" s="5" t="n">
        <f aca="false">AU188+LN(1+($G189+AU$7)*$AM189)</f>
        <v>1.28473843937296</v>
      </c>
      <c r="AV189" s="5" t="n">
        <f aca="false">AV188+LN(1+($G189+AV$7)*$AM189)</f>
        <v>1.28923484211047</v>
      </c>
      <c r="AW189" s="5" t="n">
        <f aca="false">AW188+LN(1+($G189+AW$7)*$AM189)</f>
        <v>1.28473843949</v>
      </c>
      <c r="AX189" s="5" t="n">
        <f aca="false">AX188+LN(1+($G189+AX$7)*$AM189)</f>
        <v>1.28923484222751</v>
      </c>
      <c r="AY189" s="5" t="n">
        <f aca="false">AY188+LN(1+($G189+AY$7)*$AM189)</f>
        <v>1.28473843948998</v>
      </c>
      <c r="AZ189" s="5" t="n">
        <f aca="false">AZ188+LN(1+($G189+AZ$7)*$AM189)</f>
        <v>1.28923484222747</v>
      </c>
      <c r="BA189" s="5" t="n">
        <f aca="false">BA188+LN(1+($G189+BA$7)*$AM189)</f>
        <v>1.28473843948998</v>
      </c>
      <c r="BB189" s="5" t="n">
        <f aca="false">BB188+LN(1+($G189+BB$7)*$AM189)</f>
        <v>1.28923484222747</v>
      </c>
      <c r="BC189" s="5" t="n">
        <f aca="false">BC188+LN(1+($G189+BC$7)*$AM189)</f>
        <v>1.28473843948998</v>
      </c>
      <c r="BD189" s="5" t="n">
        <f aca="false">BD188+LN(1+($G189+BD$7)*$AM189)</f>
        <v>1.28923484222747</v>
      </c>
      <c r="BE189" s="5" t="n">
        <f aca="false">IF(AB189,O189,IF(D189,MIN(O189,AC189*X189+BF188),0))</f>
        <v>0</v>
      </c>
      <c r="BF189" s="5" t="n">
        <f aca="false">IF(OR(AB189,E189),0,BE189-AD189)</f>
        <v>0</v>
      </c>
      <c r="BG189" s="5" t="n">
        <f aca="false">BG188+LN(1+($G189+BG$7)*$AM189)</f>
        <v>1.23976819109171</v>
      </c>
      <c r="BH189" s="5"/>
      <c r="BI189" s="5" t="n">
        <f aca="false">BI188+LN(1+($G189+BI$7)*$AM189)</f>
        <v>1.32969737864498</v>
      </c>
      <c r="BJ189" s="5"/>
      <c r="BK189" s="62" t="n">
        <f aca="false">C189</f>
        <v>62593</v>
      </c>
      <c r="BL189" s="67" t="n">
        <f aca="false">AI189</f>
        <v>0</v>
      </c>
    </row>
    <row r="190" customFormat="false" ht="15" hidden="false" customHeight="true" outlineLevel="0" collapsed="false">
      <c r="A190" s="3" t="n">
        <v>180</v>
      </c>
      <c r="B190" s="38" t="n">
        <f aca="false">EDATE(Inputs!$C$8,3*(A190-1))</f>
        <v>62685</v>
      </c>
      <c r="C190" s="38" t="n">
        <f aca="false">WORKDAY(B190-1,1)</f>
        <v>62687</v>
      </c>
      <c r="D190" s="61" t="b">
        <f aca="false">C190&lt;=Inputs!$C$9</f>
        <v>0</v>
      </c>
      <c r="E190" s="61" t="b">
        <f aca="false">D190</f>
        <v>0</v>
      </c>
      <c r="F190" s="63" t="n">
        <f aca="false">(C190-C189)/360</f>
        <v>0.261111111111111</v>
      </c>
      <c r="G190" s="57" t="n">
        <f aca="false">Curve!D183</f>
        <v>0.02252</v>
      </c>
      <c r="H190" s="64" t="n">
        <f aca="false">AF189</f>
        <v>0</v>
      </c>
      <c r="I190" s="64" t="n">
        <f aca="false">IF(D190,H190*Inputs!$G$22,0)</f>
        <v>0</v>
      </c>
      <c r="J190" s="32" t="n">
        <f aca="false">MAX(Inputs!$G$24-(A190-1),1)</f>
        <v>1</v>
      </c>
      <c r="K190" s="64" t="n">
        <f aca="false">IF(D190,MIN(H190-I190,IF(J190&gt;1,(H190-I190)*Inputs!$G$23/((1+Inputs!$G$23)^J190-1),H190-I190)),0)</f>
        <v>0</v>
      </c>
      <c r="L190" s="64" t="n">
        <f aca="false">IF(D190,(H190-I190-K190)*Inputs!$G$21,0)</f>
        <v>0</v>
      </c>
      <c r="M190" s="64" t="n">
        <f aca="false">IF(A190&gt;Inputs!$G$13,(1-Inputs!$G$12)*INDEX($I$11:$I$190,A190-Inputs!$G$13),0)</f>
        <v>0</v>
      </c>
      <c r="N190" s="64" t="n">
        <f aca="false">IF(D190,(H190-I190)*Inputs!$G$23,0)</f>
        <v>0</v>
      </c>
      <c r="O190" s="64" t="n">
        <f aca="false">AG189</f>
        <v>0</v>
      </c>
      <c r="P190" s="64" t="n">
        <f aca="false">AH189</f>
        <v>0</v>
      </c>
      <c r="Q190" s="64" t="n">
        <f aca="false">IF(AND(D190,O190+P190&gt;0),Inputs!$C$25+Inputs!$C$26*H190/4,0)</f>
        <v>0</v>
      </c>
      <c r="R190" s="64" t="n">
        <f aca="false">O190*IF(Inputs!$G$19="",G190+Inputs!$C$13,MAX(Inputs!$G$19,G190+Inputs!$C$13))*F190</f>
        <v>0</v>
      </c>
      <c r="S190" s="64" t="n">
        <f aca="false">P190*(G190+Inputs!$C$14)*F190</f>
        <v>0</v>
      </c>
      <c r="T190" s="64" t="n">
        <f aca="false">N190+M190-Q190-R190-S190</f>
        <v>0</v>
      </c>
      <c r="U190" s="64" t="n">
        <f aca="false">W189</f>
        <v>260422.420657149</v>
      </c>
      <c r="V190" s="64" t="n">
        <f aca="false">MIN(U190+I190,MAX(T190,0))</f>
        <v>0</v>
      </c>
      <c r="W190" s="64" t="n">
        <f aca="false">U190+I190-V190</f>
        <v>260422.420657149</v>
      </c>
      <c r="X190" s="64" t="n">
        <f aca="false">K190+L190+V190+IF(E190,H190-I190-K190-L190,0)</f>
        <v>0</v>
      </c>
      <c r="Y190" s="61" t="b">
        <f aca="false">AND(Inputs!$C$21=1,O190/Inputs!$C$10&lt;=Inputs!$C$22,Inputs!$G$14&lt;Inputs!$C$23,W190&lt;1)</f>
        <v>0</v>
      </c>
      <c r="Z190" s="61" t="b">
        <f aca="false">OR(AND(Inputs!$G$15=1,H190/Inputs!$C$17&lt;=Inputs!$C$24),AND(Inputs!$G$15=2,C190&gt;=Inputs!$G$16))</f>
        <v>0</v>
      </c>
      <c r="AA190" s="61" t="b">
        <f aca="false">OR(AA189,Z190)</f>
        <v>0</v>
      </c>
      <c r="AB190" s="61" t="b">
        <f aca="false">AND(Z190,NOT(AA189),D190,O190&gt;0)</f>
        <v>0</v>
      </c>
      <c r="AC190" s="63" t="n">
        <f aca="false">IF(AND(Y190,NOT(E190),O190+P190&gt;0),O190/(O190+P190),1)</f>
        <v>1</v>
      </c>
      <c r="AD190" s="64" t="n">
        <f aca="false">IF(AB190,O190,IF(D190,MIN(O190,IF(E190,AC190*X190+BF189,BE190*Inputs!$G$20)),0))</f>
        <v>0</v>
      </c>
      <c r="AE190" s="64" t="n">
        <f aca="false">IF(AB190,P190,IF(D190,MAX(MIN(P190,X190-MIN(O190,AC190*X190)),0),0))</f>
        <v>0</v>
      </c>
      <c r="AF190" s="64" t="n">
        <f aca="false">IF(OR(AB190,E190),0,MAX(H190-I190-K190-L190,0))</f>
        <v>0</v>
      </c>
      <c r="AG190" s="64" t="n">
        <f aca="false">IF(E190,0,O190-AD190)</f>
        <v>0</v>
      </c>
      <c r="AH190" s="64" t="n">
        <f aca="false">IF(OR(AB190,E190),0,P190-AE190)</f>
        <v>0</v>
      </c>
      <c r="AI190" s="64" t="n">
        <f aca="false">IF(D190,R190+AD190,0)</f>
        <v>0</v>
      </c>
      <c r="AJ190" s="65" t="n">
        <f aca="false">(C190-Inputs!$G$6)/365</f>
        <v>44.9260273972603</v>
      </c>
      <c r="AK190" s="29" t="n">
        <f aca="false">AG190/Inputs!$C$10</f>
        <v>0</v>
      </c>
      <c r="AL190" s="5"/>
      <c r="AM190" s="66" t="n">
        <f aca="false">F190</f>
        <v>0.261111111111111</v>
      </c>
      <c r="AN190" s="5"/>
      <c r="AO190" s="5" t="n">
        <f aca="false">AO189+LN(1+($G190+AO$7)*$AM190)</f>
        <v>1.14059003347799</v>
      </c>
      <c r="AP190" s="5" t="n">
        <f aca="false">AP189+LN(1+($G190+AP$7)*$AM190)</f>
        <v>1.14511616831792</v>
      </c>
      <c r="AQ190" s="5" t="n">
        <f aca="false">AQ189+LN(1+($G190+AQ$7)*$AM190)</f>
        <v>1.29050119800403</v>
      </c>
      <c r="AR190" s="5" t="n">
        <f aca="false">AR189+LN(1+($G190+AR$7)*$AM190)</f>
        <v>1.29502356018824</v>
      </c>
      <c r="AS190" s="5" t="n">
        <f aca="false">AS189+LN(1+($G190+AS$7)*$AM190)</f>
        <v>1.29214507835546</v>
      </c>
      <c r="AT190" s="5" t="n">
        <f aca="false">AT189+LN(1+($G190+AT$7)*$AM190)</f>
        <v>1.29666739918733</v>
      </c>
      <c r="AU190" s="5" t="n">
        <f aca="false">AU189+LN(1+($G190+AU$7)*$AM190)</f>
        <v>1.29214472737137</v>
      </c>
      <c r="AV190" s="5" t="n">
        <f aca="false">AV189+LN(1+($G190+AV$7)*$AM190)</f>
        <v>1.29666704821207</v>
      </c>
      <c r="AW190" s="5" t="n">
        <f aca="false">AW189+LN(1+($G190+AW$7)*$AM190)</f>
        <v>1.29214472748908</v>
      </c>
      <c r="AX190" s="5" t="n">
        <f aca="false">AX189+LN(1+($G190+AX$7)*$AM190)</f>
        <v>1.29666704832979</v>
      </c>
      <c r="AY190" s="5" t="n">
        <f aca="false">AY189+LN(1+($G190+AY$7)*$AM190)</f>
        <v>1.29214472748906</v>
      </c>
      <c r="AZ190" s="5" t="n">
        <f aca="false">AZ189+LN(1+($G190+AZ$7)*$AM190)</f>
        <v>1.29666704832975</v>
      </c>
      <c r="BA190" s="5" t="n">
        <f aca="false">BA189+LN(1+($G190+BA$7)*$AM190)</f>
        <v>1.29214472748906</v>
      </c>
      <c r="BB190" s="5" t="n">
        <f aca="false">BB189+LN(1+($G190+BB$7)*$AM190)</f>
        <v>1.29666704832975</v>
      </c>
      <c r="BC190" s="5" t="n">
        <f aca="false">BC189+LN(1+($G190+BC$7)*$AM190)</f>
        <v>1.29214472748906</v>
      </c>
      <c r="BD190" s="5" t="n">
        <f aca="false">BD189+LN(1+($G190+BD$7)*$AM190)</f>
        <v>1.29666704832975</v>
      </c>
      <c r="BE190" s="5" t="n">
        <f aca="false">IF(AB190,O190,IF(D190,MIN(O190,AC190*X190+BF189),0))</f>
        <v>0</v>
      </c>
      <c r="BF190" s="5" t="n">
        <f aca="false">IF(OR(AB190,E190),0,BE190-AD190)</f>
        <v>0</v>
      </c>
      <c r="BG190" s="5" t="n">
        <f aca="false">BG189+LN(1+($G190+BG$7)*$AM190)</f>
        <v>1.24691526110596</v>
      </c>
      <c r="BH190" s="5"/>
      <c r="BI190" s="5" t="n">
        <f aca="false">BI189+LN(1+($G190+BI$7)*$AM190)</f>
        <v>1.33736281745234</v>
      </c>
      <c r="BJ190" s="5"/>
      <c r="BK190" s="62" t="n">
        <f aca="false">C190</f>
        <v>62687</v>
      </c>
      <c r="BL190" s="67" t="n">
        <f aca="false">AI190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6" min="1" style="1" width="13"/>
  </cols>
  <sheetData>
    <row r="1" customFormat="false" ht="15" hidden="false" customHeight="true" outlineLevel="0" collapsed="false">
      <c r="A1" s="4" t="s">
        <v>296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</row>
    <row r="2" customFormat="false" ht="15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customFormat="false" ht="42" hidden="false" customHeight="true" outlineLevel="0" collapsed="false">
      <c r="A3" s="68" t="s">
        <v>297</v>
      </c>
      <c r="B3" s="68" t="s">
        <v>298</v>
      </c>
      <c r="C3" s="68" t="s">
        <v>299</v>
      </c>
      <c r="D3" s="68" t="s">
        <v>300</v>
      </c>
      <c r="E3" s="68" t="s">
        <v>301</v>
      </c>
      <c r="F3" s="68" t="s">
        <v>302</v>
      </c>
      <c r="G3" s="68" t="s">
        <v>303</v>
      </c>
      <c r="H3" s="68" t="s">
        <v>304</v>
      </c>
      <c r="I3" s="68" t="s">
        <v>305</v>
      </c>
      <c r="J3" s="68" t="s">
        <v>306</v>
      </c>
      <c r="K3" s="68" t="s">
        <v>307</v>
      </c>
      <c r="L3" s="68" t="s">
        <v>308</v>
      </c>
      <c r="M3" s="68" t="s">
        <v>309</v>
      </c>
      <c r="N3" s="68" t="s">
        <v>310</v>
      </c>
      <c r="O3" s="68" t="s">
        <v>311</v>
      </c>
      <c r="P3" s="68" t="s">
        <v>312</v>
      </c>
      <c r="Q3" s="68" t="s">
        <v>313</v>
      </c>
      <c r="R3" s="68" t="s">
        <v>314</v>
      </c>
      <c r="S3" s="68" t="s">
        <v>315</v>
      </c>
      <c r="T3" s="68" t="s">
        <v>316</v>
      </c>
      <c r="U3" s="68" t="s">
        <v>317</v>
      </c>
      <c r="V3" s="68" t="s">
        <v>318</v>
      </c>
      <c r="W3" s="68" t="s">
        <v>319</v>
      </c>
      <c r="X3" s="68" t="s">
        <v>320</v>
      </c>
      <c r="Y3" s="68" t="s">
        <v>321</v>
      </c>
      <c r="Z3" s="68" t="s">
        <v>322</v>
      </c>
      <c r="AA3" s="68" t="s">
        <v>323</v>
      </c>
      <c r="AB3" s="68" t="s">
        <v>324</v>
      </c>
      <c r="AC3" s="68" t="s">
        <v>325</v>
      </c>
      <c r="AD3" s="68" t="s">
        <v>326</v>
      </c>
      <c r="AE3" s="68" t="s">
        <v>327</v>
      </c>
      <c r="AF3" s="68" t="s">
        <v>328</v>
      </c>
      <c r="AG3" s="68" t="s">
        <v>329</v>
      </c>
      <c r="AH3" s="68" t="s">
        <v>330</v>
      </c>
      <c r="AI3" s="68" t="s">
        <v>331</v>
      </c>
      <c r="AJ3" s="68" t="s">
        <v>332</v>
      </c>
      <c r="AK3" s="68" t="s">
        <v>333</v>
      </c>
      <c r="AL3" s="68" t="s">
        <v>334</v>
      </c>
      <c r="AM3" s="68" t="s">
        <v>335</v>
      </c>
      <c r="AN3" s="68" t="s">
        <v>336</v>
      </c>
      <c r="AO3" s="68" t="s">
        <v>337</v>
      </c>
      <c r="AP3" s="68" t="s">
        <v>338</v>
      </c>
      <c r="AQ3" s="68" t="s">
        <v>339</v>
      </c>
      <c r="AR3" s="68" t="s">
        <v>340</v>
      </c>
      <c r="AS3" s="68" t="s">
        <v>341</v>
      </c>
      <c r="AT3" s="68" t="s">
        <v>342</v>
      </c>
      <c r="AU3" s="68" t="s">
        <v>343</v>
      </c>
      <c r="AV3" s="68" t="s">
        <v>344</v>
      </c>
      <c r="AW3" s="68" t="s">
        <v>345</v>
      </c>
      <c r="AX3" s="68" t="s">
        <v>346</v>
      </c>
      <c r="AY3" s="68" t="s">
        <v>347</v>
      </c>
      <c r="AZ3" s="68" t="s">
        <v>348</v>
      </c>
      <c r="BA3" s="68" t="s">
        <v>349</v>
      </c>
      <c r="BB3" s="68" t="s">
        <v>350</v>
      </c>
      <c r="BC3" s="68" t="s">
        <v>351</v>
      </c>
      <c r="BD3" s="68" t="s">
        <v>352</v>
      </c>
      <c r="BE3" s="68" t="s">
        <v>353</v>
      </c>
      <c r="BF3" s="68" t="s">
        <v>354</v>
      </c>
      <c r="BG3" s="68" t="s">
        <v>355</v>
      </c>
      <c r="BH3" s="68" t="s">
        <v>356</v>
      </c>
      <c r="BI3" s="68" t="s">
        <v>357</v>
      </c>
      <c r="BJ3" s="68" t="s">
        <v>358</v>
      </c>
    </row>
    <row r="4" customFormat="false" ht="15" hidden="false" customHeight="true" outlineLevel="0" collapsed="false">
      <c r="A4" s="1" t="s">
        <v>22</v>
      </c>
      <c r="B4" s="1" t="s">
        <v>359</v>
      </c>
      <c r="C4" s="1" t="s">
        <v>360</v>
      </c>
      <c r="D4" s="1" t="s">
        <v>361</v>
      </c>
      <c r="E4" s="69" t="n">
        <v>39860</v>
      </c>
      <c r="F4" s="69" t="n">
        <v>39769</v>
      </c>
      <c r="G4" s="69" t="n">
        <v>39860</v>
      </c>
      <c r="H4" s="1" t="n">
        <v>91</v>
      </c>
      <c r="I4" s="1" t="s">
        <v>362</v>
      </c>
      <c r="J4" s="1" t="n">
        <v>0.04245</v>
      </c>
      <c r="K4" s="1" t="n">
        <v>13</v>
      </c>
      <c r="L4" s="1" t="n">
        <v>0.04375</v>
      </c>
      <c r="M4" s="1" t="n">
        <v>1413750000</v>
      </c>
      <c r="N4" s="1" t="n">
        <v>832103561.25</v>
      </c>
      <c r="O4" s="1" t="n">
        <v>34219818.75</v>
      </c>
      <c r="P4" s="1" t="n">
        <v>797883742.5</v>
      </c>
      <c r="Q4" s="1" t="n">
        <v>0.564374</v>
      </c>
      <c r="R4" s="1" t="n">
        <v>9202256.4</v>
      </c>
      <c r="S4" s="1" t="n">
        <v>0</v>
      </c>
      <c r="T4" s="1" t="n">
        <v>141375</v>
      </c>
      <c r="U4" s="1" t="n">
        <v>242.05</v>
      </c>
      <c r="V4" s="1" t="n">
        <v>5885.79</v>
      </c>
      <c r="W4" s="1" t="n">
        <v>5643.74</v>
      </c>
      <c r="X4" s="1" t="n">
        <v>902334026.16</v>
      </c>
      <c r="Y4" s="1" t="n">
        <v>4199998.56</v>
      </c>
      <c r="Z4" s="1" t="n">
        <v>12534884.3</v>
      </c>
      <c r="AA4" s="1" t="n">
        <v>18607738.46</v>
      </c>
      <c r="AB4" s="1" t="n">
        <v>0.0558</v>
      </c>
      <c r="AC4" s="1" t="n">
        <v>2509441.64</v>
      </c>
      <c r="AD4" s="1" t="n">
        <v>356105.47</v>
      </c>
      <c r="AE4" s="1" t="n">
        <v>866991404.84</v>
      </c>
      <c r="AF4" s="1" t="n">
        <v>858477016.36</v>
      </c>
      <c r="AG4" s="1" t="n">
        <v>0.0521898</v>
      </c>
      <c r="AH4" s="1" t="n">
        <v>22046042.85</v>
      </c>
      <c r="AI4" s="1" t="n">
        <v>0.0153</v>
      </c>
      <c r="AJ4" s="1" t="s">
        <v>363</v>
      </c>
      <c r="AK4" s="1" t="n">
        <v>13500000</v>
      </c>
      <c r="AP4" s="1" t="s">
        <v>364</v>
      </c>
      <c r="AQ4" s="1" t="s">
        <v>365</v>
      </c>
      <c r="AR4" s="1" t="s">
        <v>366</v>
      </c>
      <c r="AU4" s="1" t="n">
        <v>63870798.75</v>
      </c>
      <c r="AV4" s="1" t="n">
        <v>61244055</v>
      </c>
      <c r="AW4" s="1" t="n">
        <v>895972973.85</v>
      </c>
      <c r="AX4" s="1" t="n">
        <f aca="false">IF(N4="","",N4-O4-P4)</f>
        <v>0</v>
      </c>
      <c r="AY4" s="1" t="n">
        <f aca="false">IF(Q4="","",P4/M4-Q4)</f>
        <v>0</v>
      </c>
      <c r="AZ4" s="1" t="n">
        <f aca="false">IF(U4="","",T4*U4-O4)</f>
        <v>0</v>
      </c>
      <c r="BA4" s="1" t="n">
        <f aca="false">IF(L4="","",L4-(J4+K4/10000))</f>
        <v>0</v>
      </c>
      <c r="BB4" s="1" t="n">
        <f aca="false">IF(OR(R4="",R4=0,L4="",H4=""),"",N4*L4*H4/360/R4-1)</f>
        <v>-2.33468688826122E-010</v>
      </c>
      <c r="BC4" s="1" t="n">
        <f aca="false">IF(Z4="","",1-(1-Z4/(X4-Y4))^4)</f>
        <v>0.0546684603915877</v>
      </c>
      <c r="BD4" s="1" t="n">
        <f aca="false">IF(Z4="","",1-(1-(Z4+AA4)/(X4-Y4))^4)</f>
        <v>0.131650487633919</v>
      </c>
      <c r="BE4" s="70" t="n">
        <f aca="false">IF(Y4="","",O4/(Y4+Z4+AA4))</f>
        <v>0.968230919833764</v>
      </c>
      <c r="BF4" s="71"/>
      <c r="BG4" s="0" t="str">
        <f aca="false">IF(BF4="","",Q4-BF4)</f>
        <v/>
      </c>
      <c r="BH4" s="71"/>
      <c r="BI4" s="0" t="str">
        <f aca="false">IF(BH4="","",O4-BH4)</f>
        <v/>
      </c>
      <c r="BJ4" s="0" t="str">
        <f aca="false">IF(AS4="","",AS4-O4-AT4)</f>
        <v/>
      </c>
    </row>
    <row r="5" customFormat="false" ht="15" hidden="false" customHeight="true" outlineLevel="0" collapsed="false">
      <c r="A5" s="1" t="s">
        <v>22</v>
      </c>
      <c r="B5" s="1" t="s">
        <v>359</v>
      </c>
      <c r="C5" s="1" t="s">
        <v>360</v>
      </c>
      <c r="D5" s="1" t="s">
        <v>367</v>
      </c>
      <c r="E5" s="69" t="n">
        <v>41502</v>
      </c>
      <c r="F5" s="69" t="n">
        <v>41409</v>
      </c>
      <c r="G5" s="69" t="n">
        <v>41502</v>
      </c>
      <c r="H5" s="1" t="n">
        <v>93</v>
      </c>
      <c r="I5" s="1" t="s">
        <v>362</v>
      </c>
      <c r="J5" s="1" t="n">
        <v>0.00203</v>
      </c>
      <c r="K5" s="1" t="n">
        <v>26</v>
      </c>
      <c r="L5" s="1" t="n">
        <v>0.00463</v>
      </c>
      <c r="M5" s="1" t="n">
        <v>1413750000</v>
      </c>
      <c r="N5" s="1" t="n">
        <v>499807278.75</v>
      </c>
      <c r="O5" s="1" t="n">
        <v>13915541.25</v>
      </c>
      <c r="P5" s="1" t="n">
        <v>485891737.5</v>
      </c>
      <c r="Q5" s="1" t="n">
        <v>0.34369</v>
      </c>
      <c r="R5" s="1" t="n">
        <v>597811.16</v>
      </c>
      <c r="T5" s="1" t="n">
        <v>141375</v>
      </c>
      <c r="U5" s="1" t="n">
        <v>98.43</v>
      </c>
      <c r="V5" s="1" t="n">
        <v>3535.33</v>
      </c>
      <c r="W5" s="1" t="n">
        <v>3436.9</v>
      </c>
      <c r="X5" s="1" t="n">
        <v>560443918.16</v>
      </c>
      <c r="AL5" s="1" t="n">
        <v>14433918.4</v>
      </c>
      <c r="AP5" s="1" t="s">
        <v>368</v>
      </c>
      <c r="AQ5" s="1" t="s">
        <v>369</v>
      </c>
      <c r="AR5" s="1" t="s">
        <v>370</v>
      </c>
      <c r="AX5" s="1" t="n">
        <f aca="false">IF(N5="","",N5-O5-P5)</f>
        <v>0</v>
      </c>
      <c r="AY5" s="1" t="n">
        <f aca="false">IF(Q5="","",P5/M5-Q5)</f>
        <v>0</v>
      </c>
      <c r="AZ5" s="1" t="n">
        <f aca="false">IF(U5="","",T5*U5-O5)</f>
        <v>0</v>
      </c>
      <c r="BA5" s="1" t="n">
        <f aca="false">IF(L5="","",L5-(J5+K5/10000))</f>
        <v>0</v>
      </c>
      <c r="BB5" s="1" t="n">
        <f aca="false">IF(OR(R5="",R5=0,L5="",H5=""),"",N5*L5*H5/360/R5-1)</f>
        <v>-6.7051904029114E-009</v>
      </c>
      <c r="BC5" s="1" t="str">
        <f aca="false">IF(Z5="","",1-(1-Z5/(X5-Y5))^4)</f>
        <v/>
      </c>
      <c r="BD5" s="1" t="str">
        <f aca="false">IF(Z5="","",1-(1-(Z5+AA5)/(X5-Y5))^4)</f>
        <v/>
      </c>
      <c r="BE5" s="0" t="str">
        <f aca="false">IF(Y5="","",O5/(Y5+Z5+AA5))</f>
        <v/>
      </c>
      <c r="BF5" s="71"/>
      <c r="BG5" s="0" t="str">
        <f aca="false">IF(BF5="","",Q5-BF5)</f>
        <v/>
      </c>
      <c r="BH5" s="71"/>
      <c r="BI5" s="0" t="str">
        <f aca="false">IF(BH5="","",O5-BH5)</f>
        <v/>
      </c>
      <c r="BJ5" s="0" t="str">
        <f aca="false">IF(AS5="","",AS5-O5-AT5)</f>
        <v/>
      </c>
    </row>
    <row r="6" customFormat="false" ht="15" hidden="false" customHeight="true" outlineLevel="0" collapsed="false">
      <c r="A6" s="1" t="s">
        <v>22</v>
      </c>
      <c r="B6" s="1" t="s">
        <v>359</v>
      </c>
      <c r="C6" s="1" t="s">
        <v>360</v>
      </c>
      <c r="D6" s="1" t="s">
        <v>371</v>
      </c>
      <c r="E6" s="69" t="n">
        <v>42963</v>
      </c>
      <c r="F6" s="69" t="n">
        <v>42870</v>
      </c>
      <c r="G6" s="69" t="n">
        <v>42963</v>
      </c>
      <c r="H6" s="1" t="n">
        <v>93</v>
      </c>
      <c r="I6" s="1" t="s">
        <v>362</v>
      </c>
      <c r="J6" s="1" t="n">
        <v>-0.00329</v>
      </c>
      <c r="K6" s="1" t="n">
        <v>26</v>
      </c>
      <c r="L6" s="1" t="n">
        <v>-0.00069</v>
      </c>
      <c r="M6" s="1" t="n">
        <v>1413750000</v>
      </c>
      <c r="N6" s="1" t="n">
        <v>354415815</v>
      </c>
      <c r="O6" s="1" t="n">
        <v>8742630</v>
      </c>
      <c r="P6" s="1" t="n">
        <v>345673185</v>
      </c>
      <c r="Q6" s="1" t="n">
        <v>0.244508</v>
      </c>
      <c r="R6" s="1" t="n">
        <v>-63174.62</v>
      </c>
      <c r="T6" s="1" t="n">
        <v>141375</v>
      </c>
      <c r="U6" s="1" t="n">
        <v>61.84</v>
      </c>
      <c r="V6" s="1" t="n">
        <v>2506.92</v>
      </c>
      <c r="W6" s="1" t="n">
        <v>2445.08</v>
      </c>
      <c r="X6" s="1" t="n">
        <v>403717641.83</v>
      </c>
      <c r="AL6" s="1" t="n">
        <v>10404854.52</v>
      </c>
      <c r="AP6" s="1" t="s">
        <v>372</v>
      </c>
      <c r="AQ6" s="1" t="s">
        <v>369</v>
      </c>
      <c r="AR6" s="1" t="s">
        <v>370</v>
      </c>
      <c r="AX6" s="1" t="n">
        <f aca="false">IF(N6="","",N6-O6-P6)</f>
        <v>0</v>
      </c>
      <c r="AY6" s="1" t="n">
        <f aca="false">IF(Q6="","",P6/M6-Q6)</f>
        <v>0</v>
      </c>
      <c r="AZ6" s="1" t="n">
        <f aca="false">IF(U6="","",T6*U6-O6)</f>
        <v>0</v>
      </c>
      <c r="BA6" s="1" t="n">
        <f aca="false">IF(L6="","",L6-(J6+K6/10000))</f>
        <v>0</v>
      </c>
      <c r="BB6" s="1" t="n">
        <f aca="false">IF(OR(R6="",R6=0,L6="",H6=""),"",N6*L6*H6/360/R6-1)</f>
        <v>-1.54531994978058E-008</v>
      </c>
      <c r="BC6" s="1" t="str">
        <f aca="false">IF(Z6="","",1-(1-Z6/(X6-Y6))^4)</f>
        <v/>
      </c>
      <c r="BD6" s="1" t="str">
        <f aca="false">IF(Z6="","",1-(1-(Z6+AA6)/(X6-Y6))^4)</f>
        <v/>
      </c>
      <c r="BE6" s="0" t="str">
        <f aca="false">IF(Y6="","",O6/(Y6+Z6+AA6))</f>
        <v/>
      </c>
      <c r="BF6" s="71"/>
      <c r="BG6" s="0" t="str">
        <f aca="false">IF(BF6="","",Q6-BF6)</f>
        <v/>
      </c>
      <c r="BH6" s="71"/>
      <c r="BI6" s="0" t="str">
        <f aca="false">IF(BH6="","",O6-BH6)</f>
        <v/>
      </c>
      <c r="BJ6" s="0" t="str">
        <f aca="false">IF(AS6="","",AS6-O6-AT6)</f>
        <v/>
      </c>
    </row>
    <row r="7" customFormat="false" ht="15" hidden="false" customHeight="true" outlineLevel="0" collapsed="false">
      <c r="A7" s="1" t="s">
        <v>22</v>
      </c>
      <c r="B7" s="1" t="s">
        <v>359</v>
      </c>
      <c r="C7" s="1" t="s">
        <v>360</v>
      </c>
      <c r="D7" s="1" t="s">
        <v>373</v>
      </c>
      <c r="E7" s="69" t="n">
        <v>43328</v>
      </c>
      <c r="F7" s="69" t="n">
        <v>43235</v>
      </c>
      <c r="G7" s="69" t="n">
        <v>43328</v>
      </c>
      <c r="H7" s="1" t="n">
        <v>93</v>
      </c>
      <c r="I7" s="1" t="s">
        <v>362</v>
      </c>
      <c r="J7" s="1" t="n">
        <v>-0.00327</v>
      </c>
      <c r="K7" s="1" t="n">
        <v>26</v>
      </c>
      <c r="L7" s="1" t="n">
        <v>0</v>
      </c>
      <c r="M7" s="1" t="n">
        <v>1413750000</v>
      </c>
      <c r="N7" s="1" t="n">
        <v>316728067.5</v>
      </c>
      <c r="O7" s="1" t="n">
        <v>9042345</v>
      </c>
      <c r="P7" s="1" t="n">
        <v>307685722.5</v>
      </c>
      <c r="Q7" s="1" t="n">
        <v>0.217638</v>
      </c>
      <c r="R7" s="1" t="n">
        <v>0</v>
      </c>
      <c r="T7" s="1" t="n">
        <v>141375</v>
      </c>
      <c r="U7" s="1" t="n">
        <v>63.96</v>
      </c>
      <c r="V7" s="1" t="n">
        <v>2240.34</v>
      </c>
      <c r="W7" s="1" t="n">
        <v>2176.38</v>
      </c>
      <c r="X7" s="1" t="n">
        <v>359635569.8</v>
      </c>
      <c r="AL7" s="1" t="n">
        <v>10397493.23</v>
      </c>
      <c r="AP7" s="1" t="s">
        <v>374</v>
      </c>
      <c r="AQ7" s="1" t="s">
        <v>369</v>
      </c>
      <c r="AR7" s="1" t="s">
        <v>370</v>
      </c>
      <c r="AX7" s="1" t="n">
        <f aca="false">IF(N7="","",N7-O7-P7)</f>
        <v>0</v>
      </c>
      <c r="AY7" s="1" t="n">
        <f aca="false">IF(Q7="","",P7/M7-Q7)</f>
        <v>0</v>
      </c>
      <c r="AZ7" s="1" t="n">
        <f aca="false">IF(U7="","",T7*U7-O7)</f>
        <v>0</v>
      </c>
      <c r="BA7" s="1" t="n">
        <f aca="false">IF(L7="","",L7-(J7+K7/10000))</f>
        <v>0.00067</v>
      </c>
      <c r="BB7" s="1" t="str">
        <f aca="false">IF(OR(R7="",R7=0,L7="",H7=""),"",N7*L7*H7/360/R7-1)</f>
        <v/>
      </c>
      <c r="BC7" s="1" t="str">
        <f aca="false">IF(Z7="","",1-(1-Z7/(X7-Y7))^4)</f>
        <v/>
      </c>
      <c r="BD7" s="1" t="str">
        <f aca="false">IF(Z7="","",1-(1-(Z7+AA7)/(X7-Y7))^4)</f>
        <v/>
      </c>
      <c r="BE7" s="0" t="str">
        <f aca="false">IF(Y7="","",O7/(Y7+Z7+AA7))</f>
        <v/>
      </c>
      <c r="BF7" s="71"/>
      <c r="BG7" s="0" t="str">
        <f aca="false">IF(BF7="","",Q7-BF7)</f>
        <v/>
      </c>
      <c r="BH7" s="71"/>
      <c r="BI7" s="0" t="str">
        <f aca="false">IF(BH7="","",O7-BH7)</f>
        <v/>
      </c>
      <c r="BJ7" s="0" t="str">
        <f aca="false">IF(AS7="","",AS7-O7-AT7)</f>
        <v/>
      </c>
    </row>
    <row r="8" customFormat="false" ht="15" hidden="false" customHeight="true" outlineLevel="0" collapsed="false">
      <c r="A8" s="1" t="s">
        <v>22</v>
      </c>
      <c r="B8" s="1" t="s">
        <v>359</v>
      </c>
      <c r="C8" s="1" t="s">
        <v>360</v>
      </c>
      <c r="D8" s="1" t="s">
        <v>375</v>
      </c>
      <c r="E8" s="69" t="n">
        <v>43419</v>
      </c>
      <c r="F8" s="69" t="n">
        <v>43328</v>
      </c>
      <c r="G8" s="69" t="n">
        <v>43419</v>
      </c>
      <c r="H8" s="1" t="n">
        <v>91</v>
      </c>
      <c r="I8" s="1" t="s">
        <v>362</v>
      </c>
      <c r="J8" s="1" t="n">
        <v>-0.00319</v>
      </c>
      <c r="K8" s="1" t="n">
        <v>26</v>
      </c>
      <c r="L8" s="1" t="n">
        <v>0</v>
      </c>
      <c r="M8" s="1" t="n">
        <v>1413750000</v>
      </c>
      <c r="N8" s="1" t="n">
        <v>307685722.5</v>
      </c>
      <c r="O8" s="1" t="n">
        <v>8144613.75</v>
      </c>
      <c r="P8" s="1" t="n">
        <v>299541108.75</v>
      </c>
      <c r="Q8" s="1" t="n">
        <v>0.211877</v>
      </c>
      <c r="R8" s="1" t="n">
        <v>0</v>
      </c>
      <c r="T8" s="1" t="n">
        <v>141375</v>
      </c>
      <c r="U8" s="1" t="n">
        <v>57.61</v>
      </c>
      <c r="V8" s="1" t="n">
        <v>2176.38</v>
      </c>
      <c r="W8" s="1" t="n">
        <v>2118.77</v>
      </c>
      <c r="X8" s="1" t="n">
        <v>349238076.57</v>
      </c>
      <c r="AL8" s="1" t="n">
        <v>9239055.35</v>
      </c>
      <c r="AP8" s="1" t="s">
        <v>376</v>
      </c>
      <c r="AQ8" s="1" t="s">
        <v>369</v>
      </c>
      <c r="AR8" s="1" t="s">
        <v>370</v>
      </c>
      <c r="AX8" s="1" t="n">
        <f aca="false">IF(N8="","",N8-O8-P8)</f>
        <v>0</v>
      </c>
      <c r="AY8" s="1" t="n">
        <f aca="false">IF(Q8="","",P8/M8-Q8)</f>
        <v>0</v>
      </c>
      <c r="AZ8" s="1" t="n">
        <f aca="false">IF(U8="","",T8*U8-O8)</f>
        <v>0</v>
      </c>
      <c r="BA8" s="1" t="n">
        <f aca="false">IF(L8="","",L8-(J8+K8/10000))</f>
        <v>0.00059</v>
      </c>
      <c r="BB8" s="1" t="str">
        <f aca="false">IF(OR(R8="",R8=0,L8="",H8=""),"",N8*L8*H8/360/R8-1)</f>
        <v/>
      </c>
      <c r="BC8" s="1" t="str">
        <f aca="false">IF(Z8="","",1-(1-Z8/(X8-Y8))^4)</f>
        <v/>
      </c>
      <c r="BD8" s="1" t="str">
        <f aca="false">IF(Z8="","",1-(1-(Z8+AA8)/(X8-Y8))^4)</f>
        <v/>
      </c>
      <c r="BE8" s="0" t="str">
        <f aca="false">IF(Y8="","",O8/(Y8+Z8+AA8))</f>
        <v/>
      </c>
      <c r="BF8" s="71"/>
      <c r="BG8" s="0" t="str">
        <f aca="false">IF(BF8="","",Q8-BF8)</f>
        <v/>
      </c>
      <c r="BH8" s="71"/>
      <c r="BI8" s="0" t="str">
        <f aca="false">IF(BH8="","",O8-BH8)</f>
        <v/>
      </c>
      <c r="BJ8" s="0" t="str">
        <f aca="false">IF(AS8="","",AS8-O8-AT8)</f>
        <v/>
      </c>
    </row>
    <row r="9" customFormat="false" ht="15" hidden="false" customHeight="true" outlineLevel="0" collapsed="false">
      <c r="A9" s="1" t="s">
        <v>22</v>
      </c>
      <c r="B9" s="1" t="s">
        <v>359</v>
      </c>
      <c r="C9" s="1" t="s">
        <v>360</v>
      </c>
      <c r="D9" s="1" t="s">
        <v>377</v>
      </c>
      <c r="E9" s="69" t="n">
        <v>43511</v>
      </c>
      <c r="F9" s="69" t="n">
        <v>43419</v>
      </c>
      <c r="G9" s="69" t="n">
        <v>43511</v>
      </c>
      <c r="H9" s="1" t="n">
        <v>92</v>
      </c>
      <c r="I9" s="1" t="s">
        <v>362</v>
      </c>
      <c r="J9" s="1" t="n">
        <v>-0.00316</v>
      </c>
      <c r="K9" s="1" t="n">
        <v>26</v>
      </c>
      <c r="L9" s="1" t="n">
        <v>0</v>
      </c>
      <c r="M9" s="1" t="n">
        <v>1413750000</v>
      </c>
      <c r="N9" s="1" t="n">
        <v>299541108.75</v>
      </c>
      <c r="O9" s="1" t="n">
        <v>8315677.5</v>
      </c>
      <c r="P9" s="1" t="n">
        <v>291225431.25</v>
      </c>
      <c r="Q9" s="1" t="n">
        <v>0.205995</v>
      </c>
      <c r="R9" s="1" t="n">
        <v>0</v>
      </c>
      <c r="T9" s="1" t="n">
        <v>141375</v>
      </c>
      <c r="U9" s="1" t="n">
        <v>58.82</v>
      </c>
      <c r="V9" s="1" t="n">
        <v>2118.77</v>
      </c>
      <c r="W9" s="1" t="n">
        <v>2059.95</v>
      </c>
      <c r="X9" s="1" t="n">
        <v>339999021.22</v>
      </c>
      <c r="AL9" s="1" t="n">
        <v>9846787.5</v>
      </c>
      <c r="AP9" s="1" t="s">
        <v>378</v>
      </c>
      <c r="AQ9" s="1" t="s">
        <v>369</v>
      </c>
      <c r="AR9" s="1" t="s">
        <v>370</v>
      </c>
      <c r="AX9" s="1" t="n">
        <f aca="false">IF(N9="","",N9-O9-P9)</f>
        <v>0</v>
      </c>
      <c r="AY9" s="1" t="n">
        <f aca="false">IF(Q9="","",P9/M9-Q9)</f>
        <v>0</v>
      </c>
      <c r="AZ9" s="1" t="n">
        <f aca="false">IF(U9="","",T9*U9-O9)</f>
        <v>0</v>
      </c>
      <c r="BA9" s="1" t="n">
        <f aca="false">IF(L9="","",L9-(J9+K9/10000))</f>
        <v>0.00056</v>
      </c>
      <c r="BB9" s="1" t="str">
        <f aca="false">IF(OR(R9="",R9=0,L9="",H9=""),"",N9*L9*H9/360/R9-1)</f>
        <v/>
      </c>
      <c r="BC9" s="1" t="str">
        <f aca="false">IF(Z9="","",1-(1-Z9/(X9-Y9))^4)</f>
        <v/>
      </c>
      <c r="BD9" s="1" t="str">
        <f aca="false">IF(Z9="","",1-(1-(Z9+AA9)/(X9-Y9))^4)</f>
        <v/>
      </c>
      <c r="BE9" s="0" t="str">
        <f aca="false">IF(Y9="","",O9/(Y9+Z9+AA9))</f>
        <v/>
      </c>
      <c r="BF9" s="71"/>
      <c r="BG9" s="0" t="str">
        <f aca="false">IF(BF9="","",Q9-BF9)</f>
        <v/>
      </c>
      <c r="BH9" s="71"/>
      <c r="BI9" s="0" t="str">
        <f aca="false">IF(BH9="","",O9-BH9)</f>
        <v/>
      </c>
      <c r="BJ9" s="0" t="str">
        <f aca="false">IF(AS9="","",AS9-O9-AT9)</f>
        <v/>
      </c>
    </row>
    <row r="10" customFormat="false" ht="15" hidden="false" customHeight="true" outlineLevel="0" collapsed="false">
      <c r="A10" s="1" t="s">
        <v>22</v>
      </c>
      <c r="B10" s="1" t="s">
        <v>359</v>
      </c>
      <c r="C10" s="1" t="s">
        <v>360</v>
      </c>
      <c r="D10" s="1" t="s">
        <v>379</v>
      </c>
      <c r="E10" s="69" t="n">
        <v>43600</v>
      </c>
      <c r="F10" s="69" t="n">
        <v>43511</v>
      </c>
      <c r="G10" s="69" t="n">
        <v>43600</v>
      </c>
      <c r="H10" s="1" t="n">
        <v>89</v>
      </c>
      <c r="I10" s="1" t="s">
        <v>362</v>
      </c>
      <c r="J10" s="1" t="n">
        <v>-0.00308</v>
      </c>
      <c r="K10" s="1" t="n">
        <v>26</v>
      </c>
      <c r="L10" s="1" t="n">
        <v>0</v>
      </c>
      <c r="M10" s="1" t="n">
        <v>1413750000</v>
      </c>
      <c r="N10" s="1" t="n">
        <v>291225431.25</v>
      </c>
      <c r="O10" s="1" t="n">
        <v>7970722.5</v>
      </c>
      <c r="P10" s="1" t="n">
        <v>283254708.75</v>
      </c>
      <c r="Q10" s="1" t="n">
        <v>0.200357</v>
      </c>
      <c r="R10" s="1" t="n">
        <v>0</v>
      </c>
      <c r="T10" s="1" t="n">
        <v>141375</v>
      </c>
      <c r="U10" s="1" t="n">
        <v>56.38</v>
      </c>
      <c r="V10" s="1" t="n">
        <v>2059.95</v>
      </c>
      <c r="W10" s="1" t="n">
        <v>2003.57</v>
      </c>
      <c r="X10" s="1" t="n">
        <v>330152233.72</v>
      </c>
      <c r="AL10" s="1" t="n">
        <v>9206191.67</v>
      </c>
      <c r="AP10" s="1" t="s">
        <v>380</v>
      </c>
      <c r="AQ10" s="1" t="s">
        <v>369</v>
      </c>
      <c r="AR10" s="1" t="s">
        <v>370</v>
      </c>
      <c r="AX10" s="1" t="n">
        <f aca="false">IF(N10="","",N10-O10-P10)</f>
        <v>0</v>
      </c>
      <c r="AY10" s="1" t="n">
        <f aca="false">IF(Q10="","",P10/M10-Q10)</f>
        <v>0</v>
      </c>
      <c r="AZ10" s="1" t="n">
        <f aca="false">IF(U10="","",T10*U10-O10)</f>
        <v>0</v>
      </c>
      <c r="BA10" s="1" t="n">
        <f aca="false">IF(L10="","",L10-(J10+K10/10000))</f>
        <v>0.00048</v>
      </c>
      <c r="BB10" s="1" t="str">
        <f aca="false">IF(OR(R10="",R10=0,L10="",H10=""),"",N10*L10*H10/360/R10-1)</f>
        <v/>
      </c>
      <c r="BC10" s="1" t="str">
        <f aca="false">IF(Z10="","",1-(1-Z10/(X10-Y10))^4)</f>
        <v/>
      </c>
      <c r="BD10" s="1" t="str">
        <f aca="false">IF(Z10="","",1-(1-(Z10+AA10)/(X10-Y10))^4)</f>
        <v/>
      </c>
      <c r="BE10" s="0" t="str">
        <f aca="false">IF(Y10="","",O10/(Y10+Z10+AA10))</f>
        <v/>
      </c>
      <c r="BF10" s="71"/>
      <c r="BG10" s="0" t="str">
        <f aca="false">IF(BF10="","",Q10-BF10)</f>
        <v/>
      </c>
      <c r="BH10" s="71"/>
      <c r="BI10" s="0" t="str">
        <f aca="false">IF(BH10="","",O10-BH10)</f>
        <v/>
      </c>
      <c r="BJ10" s="0" t="str">
        <f aca="false">IF(AS10="","",AS10-O10-AT10)</f>
        <v/>
      </c>
    </row>
    <row r="11" customFormat="false" ht="15" hidden="false" customHeight="true" outlineLevel="0" collapsed="false">
      <c r="A11" s="1" t="s">
        <v>22</v>
      </c>
      <c r="B11" s="1" t="s">
        <v>359</v>
      </c>
      <c r="C11" s="1" t="s">
        <v>360</v>
      </c>
      <c r="D11" s="1" t="s">
        <v>381</v>
      </c>
      <c r="E11" s="69" t="n">
        <v>43693</v>
      </c>
      <c r="F11" s="69" t="n">
        <v>43600</v>
      </c>
      <c r="G11" s="69" t="n">
        <v>43693</v>
      </c>
      <c r="H11" s="1" t="n">
        <v>93</v>
      </c>
      <c r="I11" s="1" t="s">
        <v>362</v>
      </c>
      <c r="J11" s="1" t="n">
        <v>-0.00311</v>
      </c>
      <c r="K11" s="1" t="n">
        <v>26</v>
      </c>
      <c r="L11" s="1" t="n">
        <v>0</v>
      </c>
      <c r="M11" s="1" t="n">
        <v>1413750000</v>
      </c>
      <c r="N11" s="1" t="n">
        <v>283254708.75</v>
      </c>
      <c r="O11" s="1" t="n">
        <v>7441980</v>
      </c>
      <c r="P11" s="1" t="n">
        <v>275812728.75</v>
      </c>
      <c r="Q11" s="1" t="n">
        <v>0.195093</v>
      </c>
      <c r="R11" s="1" t="n">
        <v>0</v>
      </c>
      <c r="T11" s="1" t="n">
        <v>141375</v>
      </c>
      <c r="U11" s="1" t="n">
        <v>52.64</v>
      </c>
      <c r="V11" s="1" t="n">
        <v>2003.57</v>
      </c>
      <c r="W11" s="1" t="n">
        <v>1950.93</v>
      </c>
      <c r="X11" s="1" t="n">
        <v>320946042.05</v>
      </c>
      <c r="AL11" s="1" t="n">
        <v>8347958.2</v>
      </c>
      <c r="AP11" s="1" t="s">
        <v>382</v>
      </c>
      <c r="AQ11" s="1" t="s">
        <v>369</v>
      </c>
      <c r="AR11" s="1" t="s">
        <v>370</v>
      </c>
      <c r="AX11" s="1" t="n">
        <f aca="false">IF(N11="","",N11-O11-P11)</f>
        <v>0</v>
      </c>
      <c r="AY11" s="1" t="n">
        <f aca="false">IF(Q11="","",P11/M11-Q11)</f>
        <v>0</v>
      </c>
      <c r="AZ11" s="1" t="n">
        <f aca="false">IF(U11="","",T11*U11-O11)</f>
        <v>0</v>
      </c>
      <c r="BA11" s="1" t="n">
        <f aca="false">IF(L11="","",L11-(J11+K11/10000))</f>
        <v>0.00051</v>
      </c>
      <c r="BB11" s="1" t="str">
        <f aca="false">IF(OR(R11="",R11=0,L11="",H11=""),"",N11*L11*H11/360/R11-1)</f>
        <v/>
      </c>
      <c r="BC11" s="1" t="str">
        <f aca="false">IF(Z11="","",1-(1-Z11/(X11-Y11))^4)</f>
        <v/>
      </c>
      <c r="BD11" s="1" t="str">
        <f aca="false">IF(Z11="","",1-(1-(Z11+AA11)/(X11-Y11))^4)</f>
        <v/>
      </c>
      <c r="BE11" s="0" t="str">
        <f aca="false">IF(Y11="","",O11/(Y11+Z11+AA11))</f>
        <v/>
      </c>
      <c r="BF11" s="71"/>
      <c r="BG11" s="0" t="str">
        <f aca="false">IF(BF11="","",Q11-BF11)</f>
        <v/>
      </c>
      <c r="BH11" s="71"/>
      <c r="BI11" s="0" t="str">
        <f aca="false">IF(BH11="","",O11-BH11)</f>
        <v/>
      </c>
      <c r="BJ11" s="0" t="str">
        <f aca="false">IF(AS11="","",AS11-O11-AT11)</f>
        <v/>
      </c>
    </row>
    <row r="12" customFormat="false" ht="15" hidden="false" customHeight="true" outlineLevel="0" collapsed="false">
      <c r="A12" s="1" t="s">
        <v>22</v>
      </c>
      <c r="B12" s="1" t="s">
        <v>359</v>
      </c>
      <c r="C12" s="1" t="s">
        <v>360</v>
      </c>
      <c r="D12" s="1" t="s">
        <v>383</v>
      </c>
      <c r="E12" s="69" t="n">
        <v>44151</v>
      </c>
      <c r="F12" s="69" t="n">
        <v>44060</v>
      </c>
      <c r="G12" s="69" t="n">
        <v>44151</v>
      </c>
      <c r="H12" s="1" t="n">
        <v>91</v>
      </c>
      <c r="I12" s="1" t="s">
        <v>362</v>
      </c>
      <c r="J12" s="1" t="n">
        <v>-0.00481</v>
      </c>
      <c r="K12" s="1" t="n">
        <v>26</v>
      </c>
      <c r="L12" s="1" t="n">
        <v>0</v>
      </c>
      <c r="M12" s="1" t="n">
        <v>1413750000</v>
      </c>
      <c r="N12" s="1" t="n">
        <v>249418016.25</v>
      </c>
      <c r="O12" s="1" t="n">
        <v>5879786.25</v>
      </c>
      <c r="P12" s="1" t="n">
        <v>243538230</v>
      </c>
      <c r="Q12" s="1" t="n">
        <v>0.172264</v>
      </c>
      <c r="R12" s="1" t="n">
        <v>0</v>
      </c>
      <c r="T12" s="1" t="n">
        <v>141375</v>
      </c>
      <c r="U12" s="1" t="n">
        <v>41.59</v>
      </c>
      <c r="V12" s="1" t="n">
        <v>1764.23</v>
      </c>
      <c r="W12" s="1" t="n">
        <v>1722.64</v>
      </c>
      <c r="X12" s="1" t="n">
        <v>281959472.54</v>
      </c>
      <c r="AL12" s="1" t="n">
        <v>6580273.84</v>
      </c>
      <c r="AP12" s="1" t="s">
        <v>384</v>
      </c>
      <c r="AQ12" s="1" t="s">
        <v>369</v>
      </c>
      <c r="AR12" s="1" t="s">
        <v>370</v>
      </c>
      <c r="AX12" s="1" t="n">
        <f aca="false">IF(N12="","",N12-O12-P12)</f>
        <v>0</v>
      </c>
      <c r="AY12" s="1" t="n">
        <f aca="false">IF(Q12="","",P12/M12-Q12)</f>
        <v>0</v>
      </c>
      <c r="AZ12" s="1" t="n">
        <f aca="false">IF(U12="","",T12*U12-O12)</f>
        <v>0</v>
      </c>
      <c r="BA12" s="1" t="n">
        <f aca="false">IF(L12="","",L12-(J12+K12/10000))</f>
        <v>0.00221</v>
      </c>
      <c r="BB12" s="1" t="str">
        <f aca="false">IF(OR(R12="",R12=0,L12="",H12=""),"",N12*L12*H12/360/R12-1)</f>
        <v/>
      </c>
      <c r="BC12" s="1" t="str">
        <f aca="false">IF(Z12="","",1-(1-Z12/(X12-Y12))^4)</f>
        <v/>
      </c>
      <c r="BD12" s="1" t="str">
        <f aca="false">IF(Z12="","",1-(1-(Z12+AA12)/(X12-Y12))^4)</f>
        <v/>
      </c>
      <c r="BE12" s="0" t="str">
        <f aca="false">IF(Y12="","",O12/(Y12+Z12+AA12))</f>
        <v/>
      </c>
      <c r="BF12" s="71"/>
      <c r="BG12" s="0" t="str">
        <f aca="false">IF(BF12="","",Q12-BF12)</f>
        <v/>
      </c>
      <c r="BH12" s="71"/>
      <c r="BI12" s="0" t="str">
        <f aca="false">IF(BH12="","",O12-BH12)</f>
        <v/>
      </c>
      <c r="BJ12" s="0" t="str">
        <f aca="false">IF(AS12="","",AS12-O12-AT12)</f>
        <v/>
      </c>
    </row>
    <row r="13" customFormat="false" ht="15" hidden="false" customHeight="true" outlineLevel="0" collapsed="false">
      <c r="A13" s="1" t="s">
        <v>22</v>
      </c>
      <c r="B13" s="1" t="s">
        <v>359</v>
      </c>
      <c r="C13" s="1" t="s">
        <v>360</v>
      </c>
      <c r="D13" s="1" t="s">
        <v>385</v>
      </c>
      <c r="E13" s="69" t="n">
        <v>44242</v>
      </c>
      <c r="F13" s="69" t="n">
        <v>44151</v>
      </c>
      <c r="G13" s="69" t="n">
        <v>44242</v>
      </c>
      <c r="H13" s="1" t="n">
        <v>91</v>
      </c>
      <c r="I13" s="1" t="s">
        <v>362</v>
      </c>
      <c r="J13" s="1" t="n">
        <v>-0.00513</v>
      </c>
      <c r="K13" s="1" t="n">
        <v>26</v>
      </c>
      <c r="L13" s="1" t="n">
        <v>0</v>
      </c>
      <c r="M13" s="1" t="n">
        <v>1413750000</v>
      </c>
      <c r="N13" s="1" t="n">
        <v>243538230</v>
      </c>
      <c r="O13" s="1" t="n">
        <v>6942926.25</v>
      </c>
      <c r="P13" s="1" t="n">
        <v>236595303.75</v>
      </c>
      <c r="Q13" s="1" t="n">
        <v>0.167353</v>
      </c>
      <c r="R13" s="1" t="n">
        <v>0</v>
      </c>
      <c r="T13" s="1" t="n">
        <v>141375</v>
      </c>
      <c r="U13" s="1" t="n">
        <v>49.11</v>
      </c>
      <c r="V13" s="1" t="n">
        <v>1722.64</v>
      </c>
      <c r="W13" s="1" t="n">
        <v>1673.53</v>
      </c>
      <c r="X13" s="1" t="n">
        <v>275379198.7</v>
      </c>
      <c r="AL13" s="1" t="n">
        <v>8134725.28</v>
      </c>
      <c r="AP13" s="1" t="s">
        <v>386</v>
      </c>
      <c r="AQ13" s="1" t="s">
        <v>369</v>
      </c>
      <c r="AR13" s="1" t="s">
        <v>370</v>
      </c>
      <c r="AX13" s="1" t="n">
        <f aca="false">IF(N13="","",N13-O13-P13)</f>
        <v>0</v>
      </c>
      <c r="AY13" s="1" t="n">
        <f aca="false">IF(Q13="","",P13/M13-Q13)</f>
        <v>0</v>
      </c>
      <c r="AZ13" s="1" t="n">
        <f aca="false">IF(U13="","",T13*U13-O13)</f>
        <v>0</v>
      </c>
      <c r="BA13" s="1" t="n">
        <f aca="false">IF(L13="","",L13-(J13+K13/10000))</f>
        <v>0.00253</v>
      </c>
      <c r="BB13" s="1" t="str">
        <f aca="false">IF(OR(R13="",R13=0,L13="",H13=""),"",N13*L13*H13/360/R13-1)</f>
        <v/>
      </c>
      <c r="BC13" s="1" t="str">
        <f aca="false">IF(Z13="","",1-(1-Z13/(X13-Y13))^4)</f>
        <v/>
      </c>
      <c r="BD13" s="1" t="str">
        <f aca="false">IF(Z13="","",1-(1-(Z13+AA13)/(X13-Y13))^4)</f>
        <v/>
      </c>
      <c r="BE13" s="0" t="str">
        <f aca="false">IF(Y13="","",O13/(Y13+Z13+AA13))</f>
        <v/>
      </c>
      <c r="BF13" s="71"/>
      <c r="BG13" s="0" t="str">
        <f aca="false">IF(BF13="","",Q13-BF13)</f>
        <v/>
      </c>
      <c r="BH13" s="71"/>
      <c r="BI13" s="0" t="str">
        <f aca="false">IF(BH13="","",O13-BH13)</f>
        <v/>
      </c>
      <c r="BJ13" s="0" t="str">
        <f aca="false">IF(AS13="","",AS13-O13-AT13)</f>
        <v/>
      </c>
    </row>
    <row r="14" customFormat="false" ht="15" hidden="false" customHeight="true" outlineLevel="0" collapsed="false">
      <c r="A14" s="1" t="s">
        <v>22</v>
      </c>
      <c r="B14" s="1" t="s">
        <v>359</v>
      </c>
      <c r="C14" s="1" t="s">
        <v>360</v>
      </c>
      <c r="D14" s="1" t="s">
        <v>387</v>
      </c>
      <c r="E14" s="69" t="n">
        <v>44697</v>
      </c>
      <c r="F14" s="69" t="n">
        <v>44607</v>
      </c>
      <c r="G14" s="69" t="n">
        <v>44697</v>
      </c>
      <c r="H14" s="1" t="n">
        <v>90</v>
      </c>
      <c r="I14" s="1" t="s">
        <v>362</v>
      </c>
      <c r="J14" s="1" t="n">
        <v>-0.00523</v>
      </c>
      <c r="K14" s="1" t="n">
        <v>26</v>
      </c>
      <c r="L14" s="1" t="n">
        <v>0</v>
      </c>
      <c r="M14" s="1" t="n">
        <v>1413750000</v>
      </c>
      <c r="N14" s="1" t="n">
        <v>210903225</v>
      </c>
      <c r="O14" s="1" t="n">
        <v>5951887.5</v>
      </c>
      <c r="P14" s="1" t="n">
        <v>204951337.5</v>
      </c>
      <c r="Q14" s="1" t="n">
        <v>0.14497</v>
      </c>
      <c r="R14" s="1" t="n">
        <v>0</v>
      </c>
      <c r="T14" s="1" t="n">
        <v>141375</v>
      </c>
      <c r="U14" s="1" t="n">
        <v>42.1</v>
      </c>
      <c r="V14" s="1" t="n">
        <v>1491.8</v>
      </c>
      <c r="W14" s="1" t="n">
        <v>1449.7</v>
      </c>
      <c r="X14" s="1" t="n">
        <v>238424919.41</v>
      </c>
      <c r="AL14" s="1" t="n">
        <v>6770006.23</v>
      </c>
      <c r="AP14" s="1" t="s">
        <v>388</v>
      </c>
      <c r="AQ14" s="1" t="s">
        <v>369</v>
      </c>
      <c r="AR14" s="1" t="s">
        <v>370</v>
      </c>
      <c r="AX14" s="1" t="n">
        <f aca="false">IF(N14="","",N14-O14-P14)</f>
        <v>0</v>
      </c>
      <c r="AY14" s="1" t="n">
        <f aca="false">IF(Q14="","",P14/M14-Q14)</f>
        <v>0</v>
      </c>
      <c r="AZ14" s="1" t="n">
        <f aca="false">IF(U14="","",T14*U14-O14)</f>
        <v>0</v>
      </c>
      <c r="BA14" s="1" t="n">
        <f aca="false">IF(L14="","",L14-(J14+K14/10000))</f>
        <v>0.00263</v>
      </c>
      <c r="BB14" s="1" t="str">
        <f aca="false">IF(OR(R14="",R14=0,L14="",H14=""),"",N14*L14*H14/360/R14-1)</f>
        <v/>
      </c>
      <c r="BC14" s="1" t="str">
        <f aca="false">IF(Z14="","",1-(1-Z14/(X14-Y14))^4)</f>
        <v/>
      </c>
      <c r="BD14" s="1" t="str">
        <f aca="false">IF(Z14="","",1-(1-(Z14+AA14)/(X14-Y14))^4)</f>
        <v/>
      </c>
      <c r="BE14" s="0" t="str">
        <f aca="false">IF(Y14="","",O14/(Y14+Z14+AA14))</f>
        <v/>
      </c>
      <c r="BF14" s="71"/>
      <c r="BG14" s="0" t="str">
        <f aca="false">IF(BF14="","",Q14-BF14)</f>
        <v/>
      </c>
      <c r="BH14" s="71"/>
      <c r="BI14" s="0" t="str">
        <f aca="false">IF(BH14="","",O14-BH14)</f>
        <v/>
      </c>
      <c r="BJ14" s="0" t="str">
        <f aca="false">IF(AS14="","",AS14-O14-AT14)</f>
        <v/>
      </c>
    </row>
    <row r="15" customFormat="false" ht="15" hidden="false" customHeight="true" outlineLevel="0" collapsed="false">
      <c r="A15" s="1" t="s">
        <v>22</v>
      </c>
      <c r="B15" s="1" t="s">
        <v>359</v>
      </c>
      <c r="C15" s="1" t="s">
        <v>360</v>
      </c>
      <c r="D15" s="1" t="s">
        <v>389</v>
      </c>
      <c r="E15" s="69" t="n">
        <v>45061</v>
      </c>
      <c r="F15" s="69" t="n">
        <v>44972</v>
      </c>
      <c r="G15" s="69" t="n">
        <v>45061</v>
      </c>
      <c r="H15" s="1" t="n">
        <v>89</v>
      </c>
      <c r="I15" s="1" t="s">
        <v>362</v>
      </c>
      <c r="J15" s="1" t="n">
        <v>0.02654</v>
      </c>
      <c r="K15" s="1" t="n">
        <v>26</v>
      </c>
      <c r="L15" s="1" t="n">
        <v>0.02914</v>
      </c>
      <c r="M15" s="1" t="n">
        <v>1413750000</v>
      </c>
      <c r="N15" s="1" t="n">
        <v>183791741.25</v>
      </c>
      <c r="O15" s="1" t="n">
        <v>7393912.5</v>
      </c>
      <c r="P15" s="1" t="n">
        <v>176397828.75</v>
      </c>
      <c r="Q15" s="1" t="n">
        <v>0.124773</v>
      </c>
      <c r="R15" s="1" t="n">
        <v>1324045.91</v>
      </c>
      <c r="T15" s="1" t="n">
        <v>141375</v>
      </c>
      <c r="U15" s="1" t="n">
        <v>52.3</v>
      </c>
      <c r="V15" s="1" t="n">
        <v>1300.03</v>
      </c>
      <c r="W15" s="1" t="n">
        <v>1247.73</v>
      </c>
      <c r="X15" s="1" t="n">
        <v>208555011.21</v>
      </c>
      <c r="AL15" s="1" t="n">
        <v>8123854.81</v>
      </c>
      <c r="AP15" s="1" t="s">
        <v>390</v>
      </c>
      <c r="AQ15" s="1" t="s">
        <v>369</v>
      </c>
      <c r="AR15" s="1" t="s">
        <v>370</v>
      </c>
      <c r="AX15" s="1" t="n">
        <f aca="false">IF(N15="","",N15-O15-P15)</f>
        <v>0</v>
      </c>
      <c r="AY15" s="1" t="n">
        <f aca="false">IF(Q15="","",P15/M15-Q15)</f>
        <v>0</v>
      </c>
      <c r="AZ15" s="1" t="n">
        <f aca="false">IF(U15="","",T15*U15-O15)</f>
        <v>0</v>
      </c>
      <c r="BA15" s="1" t="n">
        <f aca="false">IF(L15="","",L15-(J15+K15/10000))</f>
        <v>0</v>
      </c>
      <c r="BB15" s="1" t="n">
        <f aca="false">IF(OR(R15="",R15=0,L15="",H15=""),"",N15*L15*H15/360/R15-1)</f>
        <v>3.48725959220531E-009</v>
      </c>
      <c r="BC15" s="1" t="str">
        <f aca="false">IF(Z15="","",1-(1-Z15/(X15-Y15))^4)</f>
        <v/>
      </c>
      <c r="BD15" s="1" t="str">
        <f aca="false">IF(Z15="","",1-(1-(Z15+AA15)/(X15-Y15))^4)</f>
        <v/>
      </c>
      <c r="BE15" s="0" t="str">
        <f aca="false">IF(Y15="","",O15/(Y15+Z15+AA15))</f>
        <v/>
      </c>
      <c r="BF15" s="71"/>
      <c r="BG15" s="0" t="str">
        <f aca="false">IF(BF15="","",Q15-BF15)</f>
        <v/>
      </c>
      <c r="BH15" s="71"/>
      <c r="BI15" s="0" t="str">
        <f aca="false">IF(BH15="","",O15-BH15)</f>
        <v/>
      </c>
      <c r="BJ15" s="0" t="str">
        <f aca="false">IF(AS15="","",AS15-O15-AT15)</f>
        <v/>
      </c>
    </row>
    <row r="16" customFormat="false" ht="15" hidden="false" customHeight="true" outlineLevel="0" collapsed="false">
      <c r="A16" s="1" t="s">
        <v>22</v>
      </c>
      <c r="B16" s="1" t="s">
        <v>359</v>
      </c>
      <c r="C16" s="1" t="s">
        <v>360</v>
      </c>
      <c r="D16" s="1" t="s">
        <v>391</v>
      </c>
      <c r="E16" s="69" t="n">
        <v>45154</v>
      </c>
      <c r="F16" s="69" t="n">
        <v>45061</v>
      </c>
      <c r="G16" s="69" t="n">
        <v>45154</v>
      </c>
      <c r="I16" s="1" t="s">
        <v>362</v>
      </c>
      <c r="K16" s="1" t="n">
        <v>26</v>
      </c>
      <c r="M16" s="1" t="n">
        <v>1413750000</v>
      </c>
      <c r="N16" s="1" t="n">
        <v>176397828.75</v>
      </c>
      <c r="O16" s="1" t="n">
        <v>5915130</v>
      </c>
      <c r="P16" s="1" t="n">
        <v>170482698.75</v>
      </c>
      <c r="Q16" s="1" t="n">
        <v>0.120589</v>
      </c>
      <c r="T16" s="1" t="n">
        <v>141375</v>
      </c>
      <c r="U16" s="1" t="n">
        <v>41.84</v>
      </c>
      <c r="V16" s="1" t="n">
        <v>1247.73</v>
      </c>
      <c r="W16" s="1" t="n">
        <v>1205.89</v>
      </c>
      <c r="AP16" s="1" t="s">
        <v>392</v>
      </c>
      <c r="AQ16" s="1" t="s">
        <v>393</v>
      </c>
      <c r="AR16" s="1" t="s">
        <v>394</v>
      </c>
      <c r="AX16" s="1" t="n">
        <f aca="false">IF(N16="","",N16-O16-P16)</f>
        <v>0</v>
      </c>
      <c r="AY16" s="1" t="n">
        <f aca="false">IF(Q16="","",P16/M16-Q16)</f>
        <v>0</v>
      </c>
      <c r="AZ16" s="1" t="n">
        <f aca="false">IF(U16="","",T16*U16-O16)</f>
        <v>0</v>
      </c>
      <c r="BA16" s="1" t="str">
        <f aca="false">IF(L16="","",L16-(J16+K16/10000))</f>
        <v/>
      </c>
      <c r="BB16" s="1" t="str">
        <f aca="false">IF(OR(R16="",R16=0,L16="",H16=""),"",N16*L16*H16/360/R16-1)</f>
        <v/>
      </c>
      <c r="BC16" s="1" t="str">
        <f aca="false">IF(Z16="","",1-(1-Z16/(X16-Y16))^4)</f>
        <v/>
      </c>
      <c r="BD16" s="1" t="str">
        <f aca="false">IF(Z16="","",1-(1-(Z16+AA16)/(X16-Y16))^4)</f>
        <v/>
      </c>
      <c r="BE16" s="0" t="str">
        <f aca="false">IF(Y16="","",O16/(Y16+Z16+AA16))</f>
        <v/>
      </c>
      <c r="BF16" s="71"/>
      <c r="BG16" s="0" t="str">
        <f aca="false">IF(BF16="","",Q16-BF16)</f>
        <v/>
      </c>
      <c r="BH16" s="71"/>
      <c r="BI16" s="0" t="str">
        <f aca="false">IF(BH16="","",O16-BH16)</f>
        <v/>
      </c>
      <c r="BJ16" s="0" t="str">
        <f aca="false">IF(AS16="","",AS16-O16-AT16)</f>
        <v/>
      </c>
    </row>
    <row r="17" customFormat="false" ht="15" hidden="false" customHeight="true" outlineLevel="0" collapsed="false">
      <c r="A17" s="1" t="s">
        <v>22</v>
      </c>
      <c r="B17" s="1" t="s">
        <v>359</v>
      </c>
      <c r="C17" s="1" t="s">
        <v>360</v>
      </c>
      <c r="D17" s="1" t="s">
        <v>395</v>
      </c>
      <c r="E17" s="69" t="n">
        <v>45245</v>
      </c>
      <c r="F17" s="69" t="n">
        <v>45154</v>
      </c>
      <c r="G17" s="69" t="n">
        <v>45245</v>
      </c>
      <c r="H17" s="1" t="n">
        <v>91</v>
      </c>
      <c r="I17" s="1" t="s">
        <v>362</v>
      </c>
      <c r="J17" s="1" t="n">
        <v>0.03781</v>
      </c>
      <c r="K17" s="1" t="n">
        <v>26</v>
      </c>
      <c r="L17" s="1" t="n">
        <v>0.04041</v>
      </c>
      <c r="M17" s="1" t="n">
        <v>1413750000</v>
      </c>
      <c r="N17" s="1" t="n">
        <v>170482698.75</v>
      </c>
      <c r="O17" s="1" t="n">
        <v>6275636.25</v>
      </c>
      <c r="P17" s="1" t="n">
        <v>164207062.5</v>
      </c>
      <c r="Q17" s="1" t="n">
        <v>0.11615</v>
      </c>
      <c r="R17" s="1" t="n">
        <v>1741438.15</v>
      </c>
      <c r="T17" s="1" t="n">
        <v>141375</v>
      </c>
      <c r="U17" s="1" t="n">
        <v>44.39</v>
      </c>
      <c r="V17" s="1" t="n">
        <v>1205.89</v>
      </c>
      <c r="W17" s="1" t="n">
        <v>1161.5</v>
      </c>
      <c r="X17" s="1" t="n">
        <v>193919061.81</v>
      </c>
      <c r="AL17" s="1" t="n">
        <v>6891967.79</v>
      </c>
      <c r="AP17" s="1" t="s">
        <v>396</v>
      </c>
      <c r="AQ17" s="1" t="s">
        <v>369</v>
      </c>
      <c r="AR17" s="1" t="s">
        <v>370</v>
      </c>
      <c r="AX17" s="1" t="n">
        <f aca="false">IF(N17="","",N17-O17-P17)</f>
        <v>0</v>
      </c>
      <c r="AY17" s="1" t="n">
        <f aca="false">IF(Q17="","",P17/M17-Q17)</f>
        <v>0</v>
      </c>
      <c r="AZ17" s="1" t="n">
        <f aca="false">IF(U17="","",T17*U17-O17)</f>
        <v>0</v>
      </c>
      <c r="BA17" s="1" t="n">
        <f aca="false">IF(L17="","",L17-(J17+K17/10000))</f>
        <v>0</v>
      </c>
      <c r="BB17" s="1" t="n">
        <f aca="false">IF(OR(R17="",R17=0,L17="",H17=""),"",N17*L17*H17/360/R17-1)</f>
        <v>-1.69023361973331E-009</v>
      </c>
      <c r="BC17" s="1" t="str">
        <f aca="false">IF(Z17="","",1-(1-Z17/(X17-Y17))^4)</f>
        <v/>
      </c>
      <c r="BD17" s="1" t="str">
        <f aca="false">IF(Z17="","",1-(1-(Z17+AA17)/(X17-Y17))^4)</f>
        <v/>
      </c>
      <c r="BE17" s="0" t="str">
        <f aca="false">IF(Y17="","",O17/(Y17+Z17+AA17))</f>
        <v/>
      </c>
      <c r="BF17" s="71"/>
      <c r="BG17" s="0" t="str">
        <f aca="false">IF(BF17="","",Q17-BF17)</f>
        <v/>
      </c>
      <c r="BH17" s="71"/>
      <c r="BI17" s="0" t="str">
        <f aca="false">IF(BH17="","",O17-BH17)</f>
        <v/>
      </c>
      <c r="BJ17" s="0" t="str">
        <f aca="false">IF(AS17="","",AS17-O17-AT17)</f>
        <v/>
      </c>
    </row>
    <row r="18" customFormat="false" ht="15" hidden="false" customHeight="true" outlineLevel="0" collapsed="false">
      <c r="A18" s="1" t="s">
        <v>22</v>
      </c>
      <c r="B18" s="1" t="s">
        <v>359</v>
      </c>
      <c r="C18" s="1" t="s">
        <v>360</v>
      </c>
      <c r="D18" s="1" t="s">
        <v>397</v>
      </c>
      <c r="E18" s="69" t="n">
        <v>45337</v>
      </c>
      <c r="F18" s="69" t="n">
        <v>45245</v>
      </c>
      <c r="G18" s="69" t="n">
        <v>45337</v>
      </c>
      <c r="I18" s="1" t="s">
        <v>362</v>
      </c>
      <c r="K18" s="1" t="n">
        <v>26</v>
      </c>
      <c r="M18" s="1" t="n">
        <v>1413750000</v>
      </c>
      <c r="N18" s="1" t="n">
        <v>164207062.5</v>
      </c>
      <c r="O18" s="1" t="n">
        <v>6429735</v>
      </c>
      <c r="P18" s="1" t="n">
        <v>157777327.5</v>
      </c>
      <c r="Q18" s="1" t="n">
        <v>0.111602</v>
      </c>
      <c r="T18" s="1" t="n">
        <v>141375</v>
      </c>
      <c r="U18" s="1" t="n">
        <v>45.48</v>
      </c>
      <c r="V18" s="1" t="n">
        <v>1161.5</v>
      </c>
      <c r="W18" s="1" t="n">
        <v>1116.02</v>
      </c>
      <c r="AP18" s="1" t="s">
        <v>392</v>
      </c>
      <c r="AQ18" s="1" t="s">
        <v>393</v>
      </c>
      <c r="AR18" s="1" t="s">
        <v>394</v>
      </c>
      <c r="AX18" s="1" t="n">
        <f aca="false">IF(N18="","",N18-O18-P18)</f>
        <v>0</v>
      </c>
      <c r="AY18" s="1" t="n">
        <f aca="false">IF(Q18="","",P18/M18-Q18)</f>
        <v>0</v>
      </c>
      <c r="AZ18" s="1" t="n">
        <f aca="false">IF(U18="","",T18*U18-O18)</f>
        <v>0</v>
      </c>
      <c r="BA18" s="1" t="str">
        <f aca="false">IF(L18="","",L18-(J18+K18/10000))</f>
        <v/>
      </c>
      <c r="BB18" s="1" t="str">
        <f aca="false">IF(OR(R18="",R18=0,L18="",H18=""),"",N18*L18*H18/360/R18-1)</f>
        <v/>
      </c>
      <c r="BC18" s="1" t="str">
        <f aca="false">IF(Z18="","",1-(1-Z18/(X18-Y18))^4)</f>
        <v/>
      </c>
      <c r="BD18" s="1" t="str">
        <f aca="false">IF(Z18="","",1-(1-(Z18+AA18)/(X18-Y18))^4)</f>
        <v/>
      </c>
      <c r="BE18" s="0" t="str">
        <f aca="false">IF(Y18="","",O18/(Y18+Z18+AA18))</f>
        <v/>
      </c>
      <c r="BF18" s="71"/>
      <c r="BG18" s="0" t="str">
        <f aca="false">IF(BF18="","",Q18-BF18)</f>
        <v/>
      </c>
      <c r="BH18" s="71"/>
      <c r="BI18" s="0" t="str">
        <f aca="false">IF(BH18="","",O18-BH18)</f>
        <v/>
      </c>
      <c r="BJ18" s="0" t="str">
        <f aca="false">IF(AS18="","",AS18-O18-AT18)</f>
        <v/>
      </c>
    </row>
    <row r="19" customFormat="false" ht="15" hidden="false" customHeight="true" outlineLevel="0" collapsed="false">
      <c r="A19" s="1" t="s">
        <v>22</v>
      </c>
      <c r="B19" s="1" t="s">
        <v>359</v>
      </c>
      <c r="C19" s="1" t="s">
        <v>360</v>
      </c>
      <c r="D19" s="1" t="s">
        <v>398</v>
      </c>
      <c r="E19" s="69" t="n">
        <v>45427</v>
      </c>
      <c r="F19" s="69" t="n">
        <v>45337</v>
      </c>
      <c r="G19" s="69" t="n">
        <v>45427</v>
      </c>
      <c r="H19" s="1" t="n">
        <v>90</v>
      </c>
      <c r="I19" s="1" t="s">
        <v>362</v>
      </c>
      <c r="J19" s="1" t="n">
        <v>0.03912</v>
      </c>
      <c r="K19" s="1" t="n">
        <v>26</v>
      </c>
      <c r="L19" s="1" t="n">
        <v>0.04172</v>
      </c>
      <c r="M19" s="1" t="n">
        <v>1413750000</v>
      </c>
      <c r="N19" s="1" t="n">
        <v>157777327.5</v>
      </c>
      <c r="O19" s="1" t="n">
        <v>5003261.25</v>
      </c>
      <c r="P19" s="1" t="n">
        <v>152774066.25</v>
      </c>
      <c r="Q19" s="1" t="n">
        <v>0.108063</v>
      </c>
      <c r="R19" s="1" t="n">
        <v>1645617.53</v>
      </c>
      <c r="T19" s="1" t="n">
        <v>141375</v>
      </c>
      <c r="U19" s="1" t="n">
        <v>35.39</v>
      </c>
      <c r="V19" s="1" t="n">
        <v>1116.02</v>
      </c>
      <c r="W19" s="1" t="n">
        <v>1080.63</v>
      </c>
      <c r="X19" s="1" t="n">
        <v>180050106.15</v>
      </c>
      <c r="AL19" s="1" t="n">
        <v>5555546.81</v>
      </c>
      <c r="AP19" s="1" t="s">
        <v>399</v>
      </c>
      <c r="AQ19" s="1" t="s">
        <v>369</v>
      </c>
      <c r="AR19" s="1" t="s">
        <v>370</v>
      </c>
      <c r="AX19" s="1" t="n">
        <f aca="false">IF(N19="","",N19-O19-P19)</f>
        <v>0</v>
      </c>
      <c r="AY19" s="1" t="n">
        <f aca="false">IF(Q19="","",P19/M19-Q19)</f>
        <v>0</v>
      </c>
      <c r="AZ19" s="1" t="n">
        <f aca="false">IF(U19="","",T19*U19-O19)</f>
        <v>0</v>
      </c>
      <c r="BA19" s="1" t="n">
        <f aca="false">IF(L19="","",L19-(J19+K19/10000))</f>
        <v>0</v>
      </c>
      <c r="BB19" s="1" t="n">
        <f aca="false">IF(OR(R19="",R19=0,L19="",H19=""),"",N19*L19*H19/360/R19-1)</f>
        <v>-2.53704157682222E-009</v>
      </c>
      <c r="BC19" s="1" t="str">
        <f aca="false">IF(Z19="","",1-(1-Z19/(X19-Y19))^4)</f>
        <v/>
      </c>
      <c r="BD19" s="1" t="str">
        <f aca="false">IF(Z19="","",1-(1-(Z19+AA19)/(X19-Y19))^4)</f>
        <v/>
      </c>
      <c r="BE19" s="0" t="str">
        <f aca="false">IF(Y19="","",O19/(Y19+Z19+AA19))</f>
        <v/>
      </c>
      <c r="BF19" s="71"/>
      <c r="BG19" s="0" t="str">
        <f aca="false">IF(BF19="","",Q19-BF19)</f>
        <v/>
      </c>
      <c r="BH19" s="71"/>
      <c r="BI19" s="0" t="str">
        <f aca="false">IF(BH19="","",O19-BH19)</f>
        <v/>
      </c>
      <c r="BJ19" s="0" t="str">
        <f aca="false">IF(AS19="","",AS19-O19-AT19)</f>
        <v/>
      </c>
    </row>
    <row r="20" customFormat="false" ht="15" hidden="false" customHeight="true" outlineLevel="0" collapsed="false">
      <c r="A20" s="1" t="s">
        <v>22</v>
      </c>
      <c r="B20" s="1" t="s">
        <v>359</v>
      </c>
      <c r="C20" s="1" t="s">
        <v>360</v>
      </c>
      <c r="D20" s="1" t="s">
        <v>400</v>
      </c>
      <c r="E20" s="69" t="n">
        <v>45705</v>
      </c>
      <c r="F20" s="69" t="n">
        <v>45611</v>
      </c>
      <c r="G20" s="69" t="n">
        <v>45705</v>
      </c>
      <c r="H20" s="1" t="n">
        <v>94</v>
      </c>
      <c r="I20" s="1" t="s">
        <v>362</v>
      </c>
      <c r="J20" s="1" t="n">
        <v>0.03023</v>
      </c>
      <c r="K20" s="1" t="n">
        <v>26</v>
      </c>
      <c r="L20" s="1" t="n">
        <v>0.03283</v>
      </c>
      <c r="M20" s="1" t="n">
        <v>1413750000</v>
      </c>
      <c r="N20" s="1" t="n">
        <v>143193082.5</v>
      </c>
      <c r="O20" s="1" t="n">
        <v>5684688.75</v>
      </c>
      <c r="P20" s="1" t="n">
        <v>137508393.75</v>
      </c>
      <c r="Q20" s="1" t="n">
        <v>0.097265</v>
      </c>
      <c r="R20" s="1" t="n">
        <v>1227490.88</v>
      </c>
      <c r="T20" s="1" t="n">
        <v>141375</v>
      </c>
      <c r="U20" s="1" t="n">
        <v>40.21</v>
      </c>
      <c r="V20" s="1" t="n">
        <v>1012.86</v>
      </c>
      <c r="W20" s="1" t="n">
        <v>972.65</v>
      </c>
      <c r="X20" s="1" t="n">
        <v>163985388.24</v>
      </c>
      <c r="AL20" s="1" t="n">
        <v>6203280.72</v>
      </c>
      <c r="AP20" s="1" t="s">
        <v>401</v>
      </c>
      <c r="AQ20" s="1" t="s">
        <v>369</v>
      </c>
      <c r="AR20" s="1" t="s">
        <v>370</v>
      </c>
      <c r="AX20" s="1" t="n">
        <f aca="false">IF(N20="","",N20-O20-P20)</f>
        <v>0</v>
      </c>
      <c r="AY20" s="1" t="n">
        <f aca="false">IF(Q20="","",P20/M20-Q20)</f>
        <v>0</v>
      </c>
      <c r="AZ20" s="1" t="n">
        <f aca="false">IF(U20="","",T20*U20-O20)</f>
        <v>0</v>
      </c>
      <c r="BA20" s="1" t="n">
        <f aca="false">IF(L20="","",L20-(J20+K20/10000))</f>
        <v>0</v>
      </c>
      <c r="BB20" s="1" t="n">
        <f aca="false">IF(OR(R20="",R20=0,L20="",H20=""),"",N20*L20*H20/360/R20-1)</f>
        <v>-7.76991471163058E-010</v>
      </c>
      <c r="BC20" s="1" t="str">
        <f aca="false">IF(Z20="","",1-(1-Z20/(X20-Y20))^4)</f>
        <v/>
      </c>
      <c r="BD20" s="1" t="str">
        <f aca="false">IF(Z20="","",1-(1-(Z20+AA20)/(X20-Y20))^4)</f>
        <v/>
      </c>
      <c r="BE20" s="0" t="str">
        <f aca="false">IF(Y20="","",O20/(Y20+Z20+AA20))</f>
        <v/>
      </c>
      <c r="BF20" s="71"/>
      <c r="BG20" s="0" t="str">
        <f aca="false">IF(BF20="","",Q20-BF20)</f>
        <v/>
      </c>
      <c r="BH20" s="71"/>
      <c r="BI20" s="0" t="str">
        <f aca="false">IF(BH20="","",O20-BH20)</f>
        <v/>
      </c>
      <c r="BJ20" s="0" t="str">
        <f aca="false">IF(AS20="","",AS20-O20-AT20)</f>
        <v/>
      </c>
    </row>
    <row r="21" customFormat="false" ht="15" hidden="false" customHeight="true" outlineLevel="0" collapsed="false">
      <c r="A21" s="1" t="s">
        <v>22</v>
      </c>
      <c r="B21" s="1" t="s">
        <v>359</v>
      </c>
      <c r="C21" s="1" t="s">
        <v>360</v>
      </c>
      <c r="D21" s="1" t="s">
        <v>402</v>
      </c>
      <c r="E21" s="69" t="n">
        <v>45792</v>
      </c>
      <c r="F21" s="69" t="n">
        <v>45705</v>
      </c>
      <c r="G21" s="69" t="n">
        <v>45792</v>
      </c>
      <c r="I21" s="1" t="s">
        <v>362</v>
      </c>
      <c r="K21" s="1" t="n">
        <v>26</v>
      </c>
      <c r="M21" s="1" t="n">
        <v>1413750000</v>
      </c>
      <c r="N21" s="1" t="n">
        <v>137508393.75</v>
      </c>
      <c r="O21" s="1" t="n">
        <v>5195531.25</v>
      </c>
      <c r="P21" s="1" t="n">
        <v>132312862.5</v>
      </c>
      <c r="Q21" s="1" t="n">
        <v>0.09359</v>
      </c>
      <c r="T21" s="1" t="n">
        <v>141375</v>
      </c>
      <c r="U21" s="1" t="n">
        <v>36.75</v>
      </c>
      <c r="V21" s="1" t="n">
        <v>972.65</v>
      </c>
      <c r="W21" s="1" t="n">
        <v>935.9</v>
      </c>
      <c r="AP21" s="1" t="s">
        <v>392</v>
      </c>
      <c r="AQ21" s="1" t="s">
        <v>393</v>
      </c>
      <c r="AR21" s="1" t="s">
        <v>394</v>
      </c>
      <c r="AX21" s="1" t="n">
        <f aca="false">IF(N21="","",N21-O21-P21)</f>
        <v>0</v>
      </c>
      <c r="AY21" s="1" t="n">
        <f aca="false">IF(Q21="","",P21/M21-Q21)</f>
        <v>0</v>
      </c>
      <c r="AZ21" s="1" t="n">
        <f aca="false">IF(U21="","",T21*U21-O21)</f>
        <v>0</v>
      </c>
      <c r="BA21" s="1" t="str">
        <f aca="false">IF(L21="","",L21-(J21+K21/10000))</f>
        <v/>
      </c>
      <c r="BB21" s="1" t="str">
        <f aca="false">IF(OR(R21="",R21=0,L21="",H21=""),"",N21*L21*H21/360/R21-1)</f>
        <v/>
      </c>
      <c r="BC21" s="1" t="str">
        <f aca="false">IF(Z21="","",1-(1-Z21/(X21-Y21))^4)</f>
        <v/>
      </c>
      <c r="BD21" s="1" t="str">
        <f aca="false">IF(Z21="","",1-(1-(Z21+AA21)/(X21-Y21))^4)</f>
        <v/>
      </c>
      <c r="BE21" s="0" t="str">
        <f aca="false">IF(Y21="","",O21/(Y21+Z21+AA21))</f>
        <v/>
      </c>
      <c r="BF21" s="71"/>
      <c r="BG21" s="0" t="str">
        <f aca="false">IF(BF21="","",Q21-BF21)</f>
        <v/>
      </c>
      <c r="BH21" s="71"/>
      <c r="BI21" s="0" t="str">
        <f aca="false">IF(BH21="","",O21-BH21)</f>
        <v/>
      </c>
      <c r="BJ21" s="0" t="str">
        <f aca="false">IF(AS21="","",AS21-O21-AT21)</f>
        <v/>
      </c>
    </row>
    <row r="22" customFormat="false" ht="15" hidden="false" customHeight="true" outlineLevel="0" collapsed="false">
      <c r="A22" s="1" t="s">
        <v>22</v>
      </c>
      <c r="B22" s="1" t="s">
        <v>359</v>
      </c>
      <c r="C22" s="1" t="s">
        <v>360</v>
      </c>
      <c r="D22" s="1" t="s">
        <v>403</v>
      </c>
      <c r="E22" s="69" t="n">
        <v>45887</v>
      </c>
      <c r="F22" s="69" t="n">
        <v>45792</v>
      </c>
      <c r="G22" s="69" t="n">
        <v>45887</v>
      </c>
      <c r="H22" s="1" t="n">
        <v>95</v>
      </c>
      <c r="I22" s="1" t="s">
        <v>362</v>
      </c>
      <c r="J22" s="1" t="n">
        <v>0.02143</v>
      </c>
      <c r="K22" s="1" t="n">
        <v>26</v>
      </c>
      <c r="L22" s="1" t="n">
        <v>0.02403</v>
      </c>
      <c r="M22" s="1" t="n">
        <v>1413750000</v>
      </c>
      <c r="N22" s="1" t="n">
        <v>132312862.5</v>
      </c>
      <c r="O22" s="1" t="n">
        <v>4686581.25</v>
      </c>
      <c r="P22" s="1" t="n">
        <v>127626281.25</v>
      </c>
      <c r="Q22" s="1" t="n">
        <v>0.090275</v>
      </c>
      <c r="R22" s="1" t="n">
        <v>839028.94</v>
      </c>
      <c r="T22" s="1" t="n">
        <v>141375</v>
      </c>
      <c r="U22" s="1" t="n">
        <v>33.15</v>
      </c>
      <c r="V22" s="1" t="n">
        <v>935.9</v>
      </c>
      <c r="W22" s="1" t="n">
        <v>902.75</v>
      </c>
      <c r="X22" s="1" t="n">
        <v>151853398.98</v>
      </c>
      <c r="AL22" s="1" t="n">
        <v>5076114.59</v>
      </c>
      <c r="AP22" s="1" t="s">
        <v>404</v>
      </c>
      <c r="AQ22" s="1" t="s">
        <v>369</v>
      </c>
      <c r="AR22" s="1" t="s">
        <v>370</v>
      </c>
      <c r="AX22" s="1" t="n">
        <f aca="false">IF(N22="","",N22-O22-P22)</f>
        <v>0</v>
      </c>
      <c r="AY22" s="1" t="n">
        <f aca="false">IF(Q22="","",P22/M22-Q22)</f>
        <v>0</v>
      </c>
      <c r="AZ22" s="1" t="n">
        <f aca="false">IF(U22="","",T22*U22-O22)</f>
        <v>0</v>
      </c>
      <c r="BA22" s="1" t="n">
        <f aca="false">IF(L22="","",L22-(J22+K22/10000))</f>
        <v>0</v>
      </c>
      <c r="BB22" s="1" t="n">
        <f aca="false">IF(OR(R22="",R22=0,L22="",H22=""),"",N22*L22*H22/360/R22-1)</f>
        <v>-8.00776889242627E-010</v>
      </c>
      <c r="BC22" s="1" t="str">
        <f aca="false">IF(Z22="","",1-(1-Z22/(X22-Y22))^4)</f>
        <v/>
      </c>
      <c r="BD22" s="1" t="str">
        <f aca="false">IF(Z22="","",1-(1-(Z22+AA22)/(X22-Y22))^4)</f>
        <v/>
      </c>
      <c r="BE22" s="0" t="str">
        <f aca="false">IF(Y22="","",O22/(Y22+Z22+AA22))</f>
        <v/>
      </c>
      <c r="BF22" s="71"/>
      <c r="BG22" s="0" t="str">
        <f aca="false">IF(BF22="","",Q22-BF22)</f>
        <v/>
      </c>
      <c r="BH22" s="71"/>
      <c r="BI22" s="0" t="str">
        <f aca="false">IF(BH22="","",O22-BH22)</f>
        <v/>
      </c>
      <c r="BJ22" s="0" t="str">
        <f aca="false">IF(AS22="","",AS22-O22-AT22)</f>
        <v/>
      </c>
    </row>
    <row r="23" customFormat="false" ht="15" hidden="false" customHeight="true" outlineLevel="0" collapsed="false">
      <c r="A23" s="1" t="s">
        <v>22</v>
      </c>
      <c r="B23" s="1" t="s">
        <v>359</v>
      </c>
      <c r="C23" s="1" t="s">
        <v>360</v>
      </c>
      <c r="D23" s="1" t="s">
        <v>405</v>
      </c>
      <c r="E23" s="69" t="n">
        <v>45978</v>
      </c>
      <c r="F23" s="69" t="n">
        <v>45887</v>
      </c>
      <c r="G23" s="69" t="n">
        <v>45978</v>
      </c>
      <c r="H23" s="1" t="n">
        <v>91</v>
      </c>
      <c r="I23" s="1" t="s">
        <v>362</v>
      </c>
      <c r="J23" s="1" t="n">
        <v>0.02036</v>
      </c>
      <c r="K23" s="1" t="n">
        <v>26</v>
      </c>
      <c r="L23" s="1" t="n">
        <v>0.02296</v>
      </c>
      <c r="M23" s="1" t="n">
        <v>1413750000</v>
      </c>
      <c r="N23" s="1" t="n">
        <v>127626281.25</v>
      </c>
      <c r="O23" s="1" t="n">
        <v>4075841.25</v>
      </c>
      <c r="P23" s="1" t="n">
        <v>123550440</v>
      </c>
      <c r="Q23" s="1" t="n">
        <v>0.087392</v>
      </c>
      <c r="R23" s="1" t="n">
        <v>740714.57</v>
      </c>
      <c r="S23" s="1" t="n">
        <v>0</v>
      </c>
      <c r="T23" s="1" t="n">
        <v>141375</v>
      </c>
      <c r="U23" s="1" t="n">
        <v>28.83</v>
      </c>
      <c r="V23" s="1" t="n">
        <v>902.75</v>
      </c>
      <c r="W23" s="1" t="n">
        <v>873.92</v>
      </c>
      <c r="X23" s="1" t="n">
        <v>146777284.39</v>
      </c>
      <c r="Y23" s="1" t="n">
        <v>2403945.52</v>
      </c>
      <c r="Z23" s="1" t="n">
        <v>1797131.61</v>
      </c>
      <c r="AA23" s="1" t="n">
        <v>278990.85</v>
      </c>
      <c r="AB23" s="1" t="n">
        <v>0.049</v>
      </c>
      <c r="AC23" s="1" t="n">
        <v>3297.38</v>
      </c>
      <c r="AD23" s="1" t="n">
        <v>95781.59</v>
      </c>
      <c r="AE23" s="1" t="n">
        <v>142297216.41</v>
      </c>
      <c r="AF23" s="1" t="n">
        <v>133037025.57</v>
      </c>
      <c r="AG23" s="1" t="n">
        <v>0.03078</v>
      </c>
      <c r="AH23" s="1" t="n">
        <v>385037.22</v>
      </c>
      <c r="AI23" s="1" t="n">
        <v>0.0056</v>
      </c>
      <c r="AJ23" s="1" t="s">
        <v>363</v>
      </c>
      <c r="AK23" s="1" t="n">
        <v>9000000</v>
      </c>
      <c r="AP23" s="1" t="s">
        <v>406</v>
      </c>
      <c r="AQ23" s="1" t="s">
        <v>365</v>
      </c>
      <c r="AR23" s="1" t="s">
        <v>366</v>
      </c>
      <c r="AU23" s="1" t="n">
        <v>9795930</v>
      </c>
      <c r="AV23" s="1" t="n">
        <v>9483101.25</v>
      </c>
      <c r="AW23" s="1" t="n">
        <v>137424609.34</v>
      </c>
      <c r="AX23" s="1" t="n">
        <f aca="false">IF(N23="","",N23-O23-P23)</f>
        <v>0</v>
      </c>
      <c r="AY23" s="1" t="n">
        <f aca="false">IF(Q23="","",P23/M23-Q23)</f>
        <v>0</v>
      </c>
      <c r="AZ23" s="1" t="n">
        <f aca="false">IF(U23="","",T23*U23-O23)</f>
        <v>0</v>
      </c>
      <c r="BA23" s="1" t="n">
        <f aca="false">IF(L23="","",L23-(J23+K23/10000))</f>
        <v>0</v>
      </c>
      <c r="BB23" s="1" t="n">
        <f aca="false">IF(OR(R23="",R23=0,L23="",H23=""),"",N23*L23*H23/360/R23-1)</f>
        <v>6.72211264429734E-009</v>
      </c>
      <c r="BC23" s="1" t="n">
        <f aca="false">IF(Z23="","",1-(1-Z23/(X23-Y23))^4)</f>
        <v>0.0488692356933347</v>
      </c>
      <c r="BD23" s="1" t="n">
        <f aca="false">IF(Z23="","",1-(1-(Z23+AA23)/(X23-Y23))^4)</f>
        <v>0.0562920429669133</v>
      </c>
      <c r="BE23" s="70" t="n">
        <f aca="false">IF(Y23="","",O23/(Y23+Z23+AA23))</f>
        <v>0.90977218832291</v>
      </c>
      <c r="BF23" s="71"/>
      <c r="BG23" s="0" t="str">
        <f aca="false">IF(BF23="","",Q23-BF23)</f>
        <v/>
      </c>
      <c r="BH23" s="71"/>
      <c r="BI23" s="0" t="str">
        <f aca="false">IF(BH23="","",O23-BH23)</f>
        <v/>
      </c>
      <c r="BJ23" s="0" t="str">
        <f aca="false">IF(AS23="","",AS23-O23-AT23)</f>
        <v/>
      </c>
    </row>
    <row r="24" customFormat="false" ht="15" hidden="false" customHeight="true" outlineLevel="0" collapsed="false">
      <c r="A24" s="1" t="s">
        <v>22</v>
      </c>
      <c r="B24" s="1" t="s">
        <v>359</v>
      </c>
      <c r="C24" s="1" t="s">
        <v>360</v>
      </c>
      <c r="D24" s="1" t="s">
        <v>407</v>
      </c>
      <c r="E24" s="69" t="n">
        <v>46069</v>
      </c>
      <c r="F24" s="69" t="n">
        <v>45978</v>
      </c>
      <c r="G24" s="69" t="n">
        <v>46069</v>
      </c>
      <c r="H24" s="1" t="n">
        <v>91</v>
      </c>
      <c r="I24" s="1" t="s">
        <v>362</v>
      </c>
      <c r="K24" s="1" t="n">
        <v>26</v>
      </c>
      <c r="M24" s="1" t="n">
        <v>1413750000</v>
      </c>
      <c r="N24" s="1" t="n">
        <v>123550440</v>
      </c>
      <c r="O24" s="1" t="n">
        <v>5025881.25</v>
      </c>
      <c r="P24" s="1" t="n">
        <v>118524558.75</v>
      </c>
      <c r="Q24" s="1" t="n">
        <v>0.083837</v>
      </c>
      <c r="T24" s="1" t="n">
        <v>141375</v>
      </c>
      <c r="U24" s="1" t="n">
        <v>35.55</v>
      </c>
      <c r="V24" s="1" t="n">
        <v>873.92</v>
      </c>
      <c r="W24" s="1" t="n">
        <v>838.37</v>
      </c>
      <c r="AP24" s="1" t="s">
        <v>408</v>
      </c>
      <c r="AQ24" s="1" t="s">
        <v>393</v>
      </c>
      <c r="AR24" s="1" t="s">
        <v>409</v>
      </c>
      <c r="AX24" s="1" t="n">
        <f aca="false">IF(N24="","",N24-O24-P24)</f>
        <v>0</v>
      </c>
      <c r="AY24" s="1" t="n">
        <f aca="false">IF(Q24="","",P24/M24-Q24)</f>
        <v>0</v>
      </c>
      <c r="AZ24" s="1" t="n">
        <f aca="false">IF(U24="","",T24*U24-O24)</f>
        <v>0</v>
      </c>
      <c r="BA24" s="1" t="str">
        <f aca="false">IF(L24="","",L24-(J24+K24/10000))</f>
        <v/>
      </c>
      <c r="BB24" s="1" t="str">
        <f aca="false">IF(OR(R24="",R24=0,L24="",H24=""),"",N24*L24*H24/360/R24-1)</f>
        <v/>
      </c>
      <c r="BC24" s="1" t="str">
        <f aca="false">IF(Z24="","",1-(1-Z24/(X24-Y24))^4)</f>
        <v/>
      </c>
      <c r="BD24" s="1" t="str">
        <f aca="false">IF(Z24="","",1-(1-(Z24+AA24)/(X24-Y24))^4)</f>
        <v/>
      </c>
      <c r="BE24" s="0" t="str">
        <f aca="false">IF(Y24="","",O24/(Y24+Z24+AA24))</f>
        <v/>
      </c>
      <c r="BF24" s="71"/>
      <c r="BG24" s="0" t="str">
        <f aca="false">IF(BF24="","",Q24-BF24)</f>
        <v/>
      </c>
      <c r="BH24" s="71"/>
      <c r="BI24" s="0" t="str">
        <f aca="false">IF(BH24="","",O24-BH24)</f>
        <v/>
      </c>
      <c r="BJ24" s="0" t="str">
        <f aca="false">IF(AS24="","",AS24-O24-AT24)</f>
        <v/>
      </c>
    </row>
    <row r="25" customFormat="false" ht="15" hidden="false" customHeight="true" outlineLevel="0" collapsed="false">
      <c r="A25" s="1" t="s">
        <v>22</v>
      </c>
      <c r="B25" s="1" t="s">
        <v>359</v>
      </c>
      <c r="C25" s="1" t="s">
        <v>360</v>
      </c>
      <c r="D25" s="1" t="s">
        <v>410</v>
      </c>
      <c r="E25" s="69" t="n">
        <v>46157</v>
      </c>
      <c r="F25" s="69" t="n">
        <v>46069</v>
      </c>
      <c r="G25" s="69" t="n">
        <v>46157</v>
      </c>
      <c r="H25" s="1" t="n">
        <v>88</v>
      </c>
      <c r="I25" s="1" t="s">
        <v>362</v>
      </c>
      <c r="J25" s="1" t="n">
        <v>0.01984</v>
      </c>
      <c r="K25" s="1" t="n">
        <v>26</v>
      </c>
      <c r="L25" s="1" t="n">
        <v>0.02244</v>
      </c>
      <c r="M25" s="1" t="n">
        <v>1413750000</v>
      </c>
      <c r="N25" s="1" t="n">
        <v>118524558.75</v>
      </c>
      <c r="O25" s="1" t="n">
        <v>3925983.75</v>
      </c>
      <c r="P25" s="1" t="n">
        <v>114598575</v>
      </c>
      <c r="Q25" s="1" t="n">
        <v>0.08106</v>
      </c>
      <c r="R25" s="1" t="n">
        <v>650146.71</v>
      </c>
      <c r="S25" s="1" t="n">
        <v>0</v>
      </c>
      <c r="T25" s="1" t="n">
        <v>141375</v>
      </c>
      <c r="U25" s="1" t="n">
        <v>27.77</v>
      </c>
      <c r="V25" s="1" t="n">
        <v>838.37</v>
      </c>
      <c r="W25" s="1" t="n">
        <v>810.6</v>
      </c>
      <c r="X25" s="1" t="n">
        <v>136840625.78</v>
      </c>
      <c r="Y25" s="1" t="n">
        <v>2305831.99</v>
      </c>
      <c r="Z25" s="1" t="n">
        <v>1864443.59</v>
      </c>
      <c r="AA25" s="1" t="n">
        <v>76689.39</v>
      </c>
      <c r="AB25" s="1" t="n">
        <v>0.0543</v>
      </c>
      <c r="AC25" s="1" t="n">
        <v>3747.9</v>
      </c>
      <c r="AD25" s="1" t="n">
        <v>24537.2</v>
      </c>
      <c r="AE25" s="1" t="n">
        <v>132593660.81</v>
      </c>
      <c r="AF25" s="1" t="n">
        <v>123397891.75</v>
      </c>
      <c r="AG25" s="1" t="n">
        <v>0.02994</v>
      </c>
      <c r="AH25" s="1" t="n">
        <v>331571.96</v>
      </c>
      <c r="AI25" s="1" t="n">
        <v>0.0056</v>
      </c>
      <c r="AJ25" s="1" t="s">
        <v>363</v>
      </c>
      <c r="AK25" s="1" t="n">
        <v>9000000</v>
      </c>
      <c r="AP25" s="1" t="s">
        <v>411</v>
      </c>
      <c r="AQ25" s="1" t="s">
        <v>365</v>
      </c>
      <c r="AR25" s="1" t="s">
        <v>366</v>
      </c>
      <c r="AU25" s="1" t="n">
        <v>9097305</v>
      </c>
      <c r="AV25" s="1" t="n">
        <v>8795947.5</v>
      </c>
      <c r="AW25" s="1" t="n">
        <v>127624067.42</v>
      </c>
      <c r="AX25" s="1" t="n">
        <f aca="false">IF(N25="","",N25-O25-P25)</f>
        <v>0</v>
      </c>
      <c r="AY25" s="1" t="n">
        <f aca="false">IF(Q25="","",P25/M25-Q25)</f>
        <v>0</v>
      </c>
      <c r="AZ25" s="1" t="n">
        <f aca="false">IF(U25="","",T25*U25-O25)</f>
        <v>0</v>
      </c>
      <c r="BA25" s="1" t="n">
        <f aca="false">IF(L25="","",L25-(J25+K25/10000))</f>
        <v>0</v>
      </c>
      <c r="BB25" s="1" t="n">
        <f aca="false">IF(OR(R25="",R25=0,L25="",H25=""),"",N25*L25*H25/360/R25-1)</f>
        <v>4.50667525520032E-009</v>
      </c>
      <c r="BC25" s="1" t="n">
        <f aca="false">IF(Z25="","",1-(1-Z25/(X25-Y25))^4)</f>
        <v>0.0542920662179314</v>
      </c>
      <c r="BD25" s="1" t="n">
        <f aca="false">IF(Z25="","",1-(1-(Z25+AA25)/(X25-Y25))^4)</f>
        <v>0.0564768167362548</v>
      </c>
      <c r="BE25" s="70" t="n">
        <f aca="false">IF(Y25="","",O25/(Y25+Z25+AA25))</f>
        <v>0.924421034252138</v>
      </c>
      <c r="BF25" s="71"/>
      <c r="BG25" s="0" t="str">
        <f aca="false">IF(BF25="","",Q25-BF25)</f>
        <v/>
      </c>
      <c r="BH25" s="71"/>
      <c r="BI25" s="0" t="str">
        <f aca="false">IF(BH25="","",O25-BH25)</f>
        <v/>
      </c>
      <c r="BJ25" s="0" t="str">
        <f aca="false">IF(AS25="","",AS25-O25-AT25)</f>
        <v/>
      </c>
    </row>
    <row r="26" customFormat="false" ht="15" hidden="false" customHeight="true" outlineLevel="0" collapsed="false">
      <c r="A26" s="1" t="s">
        <v>22</v>
      </c>
      <c r="B26" s="1" t="s">
        <v>359</v>
      </c>
      <c r="C26" s="1" t="s">
        <v>360</v>
      </c>
      <c r="D26" s="1" t="s">
        <v>412</v>
      </c>
      <c r="E26" s="69" t="n">
        <v>46251</v>
      </c>
      <c r="F26" s="69" t="n">
        <v>46157</v>
      </c>
      <c r="G26" s="69" t="n">
        <v>46251</v>
      </c>
      <c r="H26" s="1" t="n">
        <v>94</v>
      </c>
      <c r="I26" s="1" t="s">
        <v>362</v>
      </c>
      <c r="J26" s="1" t="n">
        <v>0.02252</v>
      </c>
      <c r="K26" s="1" t="n">
        <v>26</v>
      </c>
      <c r="L26" s="1" t="n">
        <v>0.02512</v>
      </c>
      <c r="M26" s="1" t="n">
        <v>1413750000</v>
      </c>
      <c r="N26" s="1" t="n">
        <v>114598575</v>
      </c>
      <c r="O26" s="1" t="n">
        <v>3753506.25</v>
      </c>
      <c r="P26" s="1" t="n">
        <v>110845068.75</v>
      </c>
      <c r="Q26" s="1" t="n">
        <v>0.078405</v>
      </c>
      <c r="R26" s="1" t="n">
        <v>751664.79</v>
      </c>
      <c r="S26" s="1" t="n">
        <v>0</v>
      </c>
      <c r="T26" s="1" t="n">
        <v>141375</v>
      </c>
      <c r="U26" s="1" t="n">
        <v>26.55</v>
      </c>
      <c r="V26" s="1" t="n">
        <v>810.6</v>
      </c>
      <c r="W26" s="1" t="n">
        <v>784.05</v>
      </c>
      <c r="X26" s="1" t="n">
        <v>132593660.81</v>
      </c>
      <c r="Y26" s="1" t="n">
        <v>2257065.08</v>
      </c>
      <c r="Z26" s="1" t="n">
        <v>1398727.62</v>
      </c>
      <c r="AA26" s="1" t="n">
        <v>560398.5</v>
      </c>
      <c r="AB26" s="1" t="n">
        <v>0.0424</v>
      </c>
      <c r="AC26" s="1" t="n">
        <v>1577.53</v>
      </c>
      <c r="AD26" s="1" t="n">
        <v>176256.67</v>
      </c>
      <c r="AE26" s="1" t="n">
        <v>128377469.61</v>
      </c>
      <c r="AF26" s="1" t="n">
        <v>119356379.69</v>
      </c>
      <c r="AG26" s="1" t="n">
        <v>0.03174</v>
      </c>
      <c r="AH26" s="1" t="n">
        <v>79543.27</v>
      </c>
      <c r="AI26" s="1" t="n">
        <v>0.0056</v>
      </c>
      <c r="AJ26" s="1" t="s">
        <v>363</v>
      </c>
      <c r="AK26" s="1" t="n">
        <v>9000000</v>
      </c>
      <c r="AP26" s="1" t="s">
        <v>413</v>
      </c>
      <c r="AQ26" s="1" t="s">
        <v>365</v>
      </c>
      <c r="AR26" s="1" t="s">
        <v>366</v>
      </c>
      <c r="AU26" s="1" t="n">
        <v>8795947.5</v>
      </c>
      <c r="AV26" s="1" t="n">
        <v>8507872.5</v>
      </c>
      <c r="AW26" s="1" t="n">
        <v>123397891.75</v>
      </c>
      <c r="AX26" s="1" t="n">
        <f aca="false">IF(N26="","",N26-O26-P26)</f>
        <v>0</v>
      </c>
      <c r="AY26" s="1" t="n">
        <f aca="false">IF(Q26="","",P26/M26-Q26)</f>
        <v>0</v>
      </c>
      <c r="AZ26" s="1" t="n">
        <f aca="false">IF(U26="","",T26*U26-O26)</f>
        <v>0</v>
      </c>
      <c r="BA26" s="1" t="n">
        <f aca="false">IF(L26="","",L26-(J26+K26/10000))</f>
        <v>0</v>
      </c>
      <c r="BB26" s="1" t="n">
        <f aca="false">IF(OR(R26="",R26=0,L26="",H26=""),"",N26*L26*H26/360/R26-1)</f>
        <v>-4.52329296241061E-009</v>
      </c>
      <c r="BC26" s="1" t="n">
        <f aca="false">IF(Z26="","",1-(1-Z26/(X26-Y26))^4)</f>
        <v>0.0422405471662267</v>
      </c>
      <c r="BD26" s="1" t="n">
        <f aca="false">IF(Z26="","",1-(1-(Z26+AA26)/(X26-Y26))^4)</f>
        <v>0.0587830248011186</v>
      </c>
      <c r="BE26" s="70" t="n">
        <f aca="false">IF(Y26="","",O26/(Y26+Z26+AA26))</f>
        <v>0.890259969709154</v>
      </c>
      <c r="BF26" s="71"/>
      <c r="BG26" s="0" t="str">
        <f aca="false">IF(BF26="","",Q26-BF26)</f>
        <v/>
      </c>
      <c r="BH26" s="71"/>
      <c r="BI26" s="0" t="str">
        <f aca="false">IF(BH26="","",O26-BH26)</f>
        <v/>
      </c>
      <c r="BJ26" s="0" t="str">
        <f aca="false">IF(AS26="","",AS26-O26-AT26)</f>
        <v/>
      </c>
    </row>
    <row r="27" customFormat="false" ht="15" hidden="false" customHeight="true" outlineLevel="0" collapsed="false">
      <c r="A27" s="1" t="s">
        <v>129</v>
      </c>
      <c r="B27" s="1" t="s">
        <v>414</v>
      </c>
      <c r="C27" s="1" t="s">
        <v>360</v>
      </c>
      <c r="D27" s="1" t="s">
        <v>415</v>
      </c>
      <c r="E27" s="69" t="n">
        <v>40198</v>
      </c>
      <c r="F27" s="69" t="n">
        <v>40106</v>
      </c>
      <c r="G27" s="69" t="n">
        <v>40198</v>
      </c>
      <c r="H27" s="1" t="n">
        <v>92</v>
      </c>
      <c r="I27" s="1" t="s">
        <v>362</v>
      </c>
      <c r="J27" s="1" t="n">
        <v>0.00739</v>
      </c>
      <c r="K27" s="1" t="n">
        <v>14</v>
      </c>
      <c r="L27" s="1" t="n">
        <v>0.00879</v>
      </c>
      <c r="M27" s="1" t="n">
        <v>1413750000</v>
      </c>
      <c r="N27" s="1" t="n">
        <v>801487391.25</v>
      </c>
      <c r="O27" s="1" t="n">
        <v>33987963.75</v>
      </c>
      <c r="P27" s="1" t="n">
        <v>767499427.5</v>
      </c>
      <c r="Q27" s="1" t="n">
        <v>0.542882</v>
      </c>
      <c r="R27" s="1" t="n">
        <v>1800407.84</v>
      </c>
      <c r="T27" s="1" t="n">
        <v>141375</v>
      </c>
      <c r="U27" s="1" t="n">
        <v>240.41</v>
      </c>
      <c r="V27" s="1" t="n">
        <v>5669.23</v>
      </c>
      <c r="W27" s="1" t="n">
        <v>5428.82</v>
      </c>
      <c r="X27" s="1" t="n">
        <v>865936119.32</v>
      </c>
      <c r="AL27" s="1" t="n">
        <v>36238567.41</v>
      </c>
      <c r="AP27" s="1" t="s">
        <v>416</v>
      </c>
      <c r="AQ27" s="1" t="s">
        <v>369</v>
      </c>
      <c r="AR27" s="1" t="s">
        <v>370</v>
      </c>
      <c r="AX27" s="1" t="n">
        <f aca="false">IF(N27="","",N27-O27-P27)</f>
        <v>0</v>
      </c>
      <c r="AY27" s="1" t="n">
        <f aca="false">IF(Q27="","",P27/M27-Q27)</f>
        <v>0</v>
      </c>
      <c r="AZ27" s="1" t="n">
        <f aca="false">IF(U27="","",T27*U27-O27)</f>
        <v>0</v>
      </c>
      <c r="BA27" s="1" t="n">
        <f aca="false">IF(L27="","",L27-(J27+K27/10000))</f>
        <v>0</v>
      </c>
      <c r="BB27" s="1" t="n">
        <f aca="false">IF(OR(R27="",R27=0,L27="",H27=""),"",N27*L27*H27/360/R27-1)</f>
        <v>1.78362347114103E-009</v>
      </c>
      <c r="BC27" s="1" t="str">
        <f aca="false">IF(Z27="","",1-(1-Z27/(X27-Y27))^4)</f>
        <v/>
      </c>
      <c r="BD27" s="1" t="str">
        <f aca="false">IF(Z27="","",1-(1-(Z27+AA27)/(X27-Y27))^4)</f>
        <v/>
      </c>
      <c r="BE27" s="0" t="str">
        <f aca="false">IF(Y27="","",O27/(Y27+Z27+AA27))</f>
        <v/>
      </c>
      <c r="BF27" s="71"/>
      <c r="BG27" s="0" t="str">
        <f aca="false">IF(BF27="","",Q27-BF27)</f>
        <v/>
      </c>
      <c r="BH27" s="71"/>
      <c r="BI27" s="0" t="str">
        <f aca="false">IF(BH27="","",O27-BH27)</f>
        <v/>
      </c>
      <c r="BJ27" s="0" t="str">
        <f aca="false">IF(AS27="","",AS27-O27-AT27)</f>
        <v/>
      </c>
    </row>
    <row r="28" customFormat="false" ht="15" hidden="false" customHeight="true" outlineLevel="0" collapsed="false">
      <c r="A28" s="1" t="s">
        <v>129</v>
      </c>
      <c r="B28" s="1" t="s">
        <v>414</v>
      </c>
      <c r="C28" s="1" t="s">
        <v>360</v>
      </c>
      <c r="D28" s="1" t="s">
        <v>417</v>
      </c>
      <c r="E28" s="69" t="n">
        <v>41019</v>
      </c>
      <c r="F28" s="69" t="n">
        <v>40928</v>
      </c>
      <c r="G28" s="69" t="n">
        <v>41019</v>
      </c>
      <c r="H28" s="1" t="n">
        <v>91</v>
      </c>
      <c r="I28" s="1" t="s">
        <v>362</v>
      </c>
      <c r="J28" s="1" t="n">
        <v>0.01204</v>
      </c>
      <c r="K28" s="1" t="n">
        <v>14</v>
      </c>
      <c r="L28" s="1" t="n">
        <v>0.01344</v>
      </c>
      <c r="M28" s="1" t="n">
        <v>1413750000</v>
      </c>
      <c r="N28" s="1" t="n">
        <v>642528168.75</v>
      </c>
      <c r="O28" s="1" t="n">
        <v>14637967.5</v>
      </c>
      <c r="P28" s="1" t="n">
        <v>627890201.25</v>
      </c>
      <c r="Q28" s="1" t="n">
        <v>0.444131</v>
      </c>
      <c r="R28" s="1" t="n">
        <v>2182882.37</v>
      </c>
      <c r="T28" s="1" t="n">
        <v>141375</v>
      </c>
      <c r="U28" s="1" t="n">
        <v>103.54</v>
      </c>
      <c r="V28" s="1" t="n">
        <v>4544.85</v>
      </c>
      <c r="W28" s="1" t="n">
        <v>4441.31</v>
      </c>
      <c r="X28" s="1" t="n">
        <v>700677123.52</v>
      </c>
      <c r="AL28" s="1" t="n">
        <v>14378657.86</v>
      </c>
      <c r="AP28" s="1" t="s">
        <v>418</v>
      </c>
      <c r="AQ28" s="1" t="s">
        <v>369</v>
      </c>
      <c r="AR28" s="1" t="s">
        <v>370</v>
      </c>
      <c r="AX28" s="1" t="n">
        <f aca="false">IF(N28="","",N28-O28-P28)</f>
        <v>0</v>
      </c>
      <c r="AY28" s="1" t="n">
        <f aca="false">IF(Q28="","",P28/M28-Q28)</f>
        <v>0</v>
      </c>
      <c r="AZ28" s="1" t="n">
        <f aca="false">IF(U28="","",T28*U28-O28)</f>
        <v>0</v>
      </c>
      <c r="BA28" s="1" t="n">
        <f aca="false">IF(L28="","",L28-(J28+K28/10000))</f>
        <v>0</v>
      </c>
      <c r="BB28" s="1" t="n">
        <f aca="false">IF(OR(R28="",R28=0,L28="",H28=""),"",N28*L28*H28/360/R28-1)</f>
        <v>-2.15311668494422E-009</v>
      </c>
      <c r="BC28" s="1" t="str">
        <f aca="false">IF(Z28="","",1-(1-Z28/(X28-Y28))^4)</f>
        <v/>
      </c>
      <c r="BD28" s="1" t="str">
        <f aca="false">IF(Z28="","",1-(1-(Z28+AA28)/(X28-Y28))^4)</f>
        <v/>
      </c>
      <c r="BE28" s="0" t="str">
        <f aca="false">IF(Y28="","",O28/(Y28+Z28+AA28))</f>
        <v/>
      </c>
      <c r="BF28" s="71"/>
      <c r="BG28" s="0" t="str">
        <f aca="false">IF(BF28="","",Q28-BF28)</f>
        <v/>
      </c>
      <c r="BH28" s="71"/>
      <c r="BI28" s="0" t="str">
        <f aca="false">IF(BH28="","",O28-BH28)</f>
        <v/>
      </c>
      <c r="BJ28" s="0" t="str">
        <f aca="false">IF(AS28="","",AS28-O28-AT28)</f>
        <v/>
      </c>
    </row>
    <row r="29" customFormat="false" ht="15" hidden="false" customHeight="true" outlineLevel="0" collapsed="false">
      <c r="A29" s="1" t="s">
        <v>129</v>
      </c>
      <c r="B29" s="1" t="s">
        <v>414</v>
      </c>
      <c r="C29" s="1" t="s">
        <v>360</v>
      </c>
      <c r="D29" s="1" t="s">
        <v>419</v>
      </c>
      <c r="E29" s="69" t="n">
        <v>41386</v>
      </c>
      <c r="F29" s="69" t="n">
        <v>41295</v>
      </c>
      <c r="G29" s="69" t="n">
        <v>41386</v>
      </c>
      <c r="H29" s="1" t="n">
        <v>91</v>
      </c>
      <c r="I29" s="1" t="s">
        <v>362</v>
      </c>
      <c r="J29" s="1" t="n">
        <v>0.00204</v>
      </c>
      <c r="K29" s="1" t="n">
        <v>14</v>
      </c>
      <c r="L29" s="1" t="n">
        <v>0.00344</v>
      </c>
      <c r="M29" s="1" t="n">
        <v>1413750000</v>
      </c>
      <c r="N29" s="1" t="n">
        <v>582848126.25</v>
      </c>
      <c r="O29" s="1" t="n">
        <v>15654453.75</v>
      </c>
      <c r="P29" s="1" t="n">
        <v>567193672.5</v>
      </c>
      <c r="Q29" s="1" t="n">
        <v>0.401198</v>
      </c>
      <c r="R29" s="1" t="n">
        <v>506818.83</v>
      </c>
      <c r="T29" s="1" t="n">
        <v>141375</v>
      </c>
      <c r="U29" s="1" t="n">
        <v>110.73</v>
      </c>
      <c r="V29" s="1" t="n">
        <v>4122.71</v>
      </c>
      <c r="W29" s="1" t="n">
        <v>4011.98</v>
      </c>
      <c r="X29" s="1" t="n">
        <v>639197916.66</v>
      </c>
      <c r="AL29" s="1" t="n">
        <v>16292520.2</v>
      </c>
      <c r="AP29" s="1" t="s">
        <v>420</v>
      </c>
      <c r="AQ29" s="1" t="s">
        <v>369</v>
      </c>
      <c r="AR29" s="1" t="s">
        <v>370</v>
      </c>
      <c r="AX29" s="1" t="n">
        <f aca="false">IF(N29="","",N29-O29-P29)</f>
        <v>0</v>
      </c>
      <c r="AY29" s="1" t="n">
        <f aca="false">IF(Q29="","",P29/M29-Q29)</f>
        <v>0</v>
      </c>
      <c r="AZ29" s="1" t="n">
        <f aca="false">IF(U29="","",T29*U29-O29)</f>
        <v>0</v>
      </c>
      <c r="BA29" s="1" t="n">
        <f aca="false">IF(L29="","",L29-(J29+K29/10000))</f>
        <v>0</v>
      </c>
      <c r="BB29" s="1" t="n">
        <f aca="false">IF(OR(R29="",R29=0,L29="",H29=""),"",N29*L29*H29/360/R29-1)</f>
        <v>-7.44677675079686E-009</v>
      </c>
      <c r="BC29" s="1" t="str">
        <f aca="false">IF(Z29="","",1-(1-Z29/(X29-Y29))^4)</f>
        <v/>
      </c>
      <c r="BD29" s="1" t="str">
        <f aca="false">IF(Z29="","",1-(1-(Z29+AA29)/(X29-Y29))^4)</f>
        <v/>
      </c>
      <c r="BE29" s="0" t="str">
        <f aca="false">IF(Y29="","",O29/(Y29+Z29+AA29))</f>
        <v/>
      </c>
      <c r="BF29" s="71"/>
      <c r="BG29" s="0" t="str">
        <f aca="false">IF(BF29="","",Q29-BF29)</f>
        <v/>
      </c>
      <c r="BH29" s="71"/>
      <c r="BI29" s="0" t="str">
        <f aca="false">IF(BH29="","",O29-BH29)</f>
        <v/>
      </c>
      <c r="BJ29" s="0" t="str">
        <f aca="false">IF(AS29="","",AS29-O29-AT29)</f>
        <v/>
      </c>
    </row>
    <row r="30" customFormat="false" ht="15" hidden="false" customHeight="true" outlineLevel="0" collapsed="false">
      <c r="A30" s="1" t="s">
        <v>129</v>
      </c>
      <c r="B30" s="1" t="s">
        <v>414</v>
      </c>
      <c r="C30" s="1" t="s">
        <v>360</v>
      </c>
      <c r="D30" s="1" t="s">
        <v>421</v>
      </c>
      <c r="E30" s="69" t="n">
        <v>42205</v>
      </c>
      <c r="F30" s="69" t="n">
        <v>42114</v>
      </c>
      <c r="G30" s="69" t="n">
        <v>42205</v>
      </c>
      <c r="H30" s="1" t="n">
        <v>91</v>
      </c>
      <c r="I30" s="1" t="s">
        <v>362</v>
      </c>
      <c r="J30" s="1" t="n">
        <v>2E-005</v>
      </c>
      <c r="K30" s="1" t="n">
        <v>14</v>
      </c>
      <c r="L30" s="1" t="n">
        <v>0.00142</v>
      </c>
      <c r="M30" s="1" t="n">
        <v>1413750000</v>
      </c>
      <c r="N30" s="1" t="n">
        <v>477380962.5</v>
      </c>
      <c r="O30" s="1" t="n">
        <v>9316612.5</v>
      </c>
      <c r="P30" s="1" t="n">
        <v>468064350</v>
      </c>
      <c r="Q30" s="1" t="n">
        <v>0.33108</v>
      </c>
      <c r="R30" s="1" t="n">
        <v>171353.24</v>
      </c>
      <c r="T30" s="1" t="n">
        <v>141375</v>
      </c>
      <c r="U30" s="1" t="n">
        <v>65.9</v>
      </c>
      <c r="V30" s="1" t="n">
        <v>3376.7</v>
      </c>
      <c r="W30" s="1" t="n">
        <v>3310.8</v>
      </c>
      <c r="X30" s="1" t="n">
        <v>529710288.15</v>
      </c>
      <c r="AL30" s="1" t="n">
        <v>9501622.58</v>
      </c>
      <c r="AP30" s="1" t="s">
        <v>422</v>
      </c>
      <c r="AQ30" s="1" t="s">
        <v>369</v>
      </c>
      <c r="AR30" s="1" t="s">
        <v>370</v>
      </c>
      <c r="AX30" s="1" t="n">
        <f aca="false">IF(N30="","",N30-O30-P30)</f>
        <v>0</v>
      </c>
      <c r="AY30" s="1" t="n">
        <f aca="false">IF(Q30="","",P30/M30-Q30)</f>
        <v>0</v>
      </c>
      <c r="AZ30" s="1" t="n">
        <f aca="false">IF(U30="","",T30*U30-O30)</f>
        <v>0</v>
      </c>
      <c r="BA30" s="1" t="n">
        <f aca="false">IF(L30="","",L30-(J30+K30/10000))</f>
        <v>0</v>
      </c>
      <c r="BB30" s="1" t="n">
        <f aca="false">IF(OR(R30="",R30=0,L30="",H30=""),"",N30*L30*H30/360/R30-1)</f>
        <v>2.55198948639901E-008</v>
      </c>
      <c r="BC30" s="1" t="str">
        <f aca="false">IF(Z30="","",1-(1-Z30/(X30-Y30))^4)</f>
        <v/>
      </c>
      <c r="BD30" s="1" t="str">
        <f aca="false">IF(Z30="","",1-(1-(Z30+AA30)/(X30-Y30))^4)</f>
        <v/>
      </c>
      <c r="BE30" s="0" t="str">
        <f aca="false">IF(Y30="","",O30/(Y30+Z30+AA30))</f>
        <v/>
      </c>
      <c r="BF30" s="71"/>
      <c r="BG30" s="0" t="str">
        <f aca="false">IF(BF30="","",Q30-BF30)</f>
        <v/>
      </c>
      <c r="BH30" s="71"/>
      <c r="BI30" s="0" t="str">
        <f aca="false">IF(BH30="","",O30-BH30)</f>
        <v/>
      </c>
      <c r="BJ30" s="0" t="str">
        <f aca="false">IF(AS30="","",AS30-O30-AT30)</f>
        <v/>
      </c>
    </row>
    <row r="31" customFormat="false" ht="15" hidden="false" customHeight="true" outlineLevel="0" collapsed="false">
      <c r="A31" s="1" t="s">
        <v>129</v>
      </c>
      <c r="B31" s="1" t="s">
        <v>414</v>
      </c>
      <c r="C31" s="1" t="s">
        <v>360</v>
      </c>
      <c r="D31" s="1" t="s">
        <v>423</v>
      </c>
      <c r="E31" s="69" t="n">
        <v>42845</v>
      </c>
      <c r="F31" s="69" t="n">
        <v>42755</v>
      </c>
      <c r="G31" s="69" t="n">
        <v>42845</v>
      </c>
      <c r="H31" s="1" t="n">
        <v>90</v>
      </c>
      <c r="I31" s="1" t="s">
        <v>362</v>
      </c>
      <c r="J31" s="1" t="n">
        <v>-0.00329</v>
      </c>
      <c r="K31" s="1" t="n">
        <v>28</v>
      </c>
      <c r="L31" s="1" t="n">
        <v>0</v>
      </c>
      <c r="M31" s="1" t="n">
        <v>1413750000</v>
      </c>
      <c r="N31" s="1" t="n">
        <v>405409777.5</v>
      </c>
      <c r="O31" s="1" t="n">
        <v>9535743.75</v>
      </c>
      <c r="P31" s="1" t="n">
        <v>395874033.75</v>
      </c>
      <c r="Q31" s="1" t="n">
        <v>0.280017</v>
      </c>
      <c r="R31" s="1" t="n">
        <v>0</v>
      </c>
      <c r="T31" s="1" t="n">
        <v>141375</v>
      </c>
      <c r="U31" s="1" t="n">
        <v>67.45</v>
      </c>
      <c r="V31" s="1" t="n">
        <v>2867.62</v>
      </c>
      <c r="W31" s="1" t="n">
        <v>2800.17</v>
      </c>
      <c r="X31" s="1" t="n">
        <v>453369098.65</v>
      </c>
      <c r="AL31" s="1" t="n">
        <v>10752517.95</v>
      </c>
      <c r="AP31" s="1" t="s">
        <v>424</v>
      </c>
      <c r="AQ31" s="1" t="s">
        <v>369</v>
      </c>
      <c r="AR31" s="1" t="s">
        <v>425</v>
      </c>
      <c r="AX31" s="1" t="n">
        <f aca="false">IF(N31="","",N31-O31-P31)</f>
        <v>0</v>
      </c>
      <c r="AY31" s="1" t="n">
        <f aca="false">IF(Q31="","",P31/M31-Q31)</f>
        <v>0</v>
      </c>
      <c r="AZ31" s="1" t="n">
        <f aca="false">IF(U31="","",T31*U31-O31)</f>
        <v>0</v>
      </c>
      <c r="BA31" s="1" t="n">
        <f aca="false">IF(L31="","",L31-(J31+K31/10000))</f>
        <v>0.00049</v>
      </c>
      <c r="BB31" s="1" t="str">
        <f aca="false">IF(OR(R31="",R31=0,L31="",H31=""),"",N31*L31*H31/360/R31-1)</f>
        <v/>
      </c>
      <c r="BC31" s="1" t="str">
        <f aca="false">IF(Z31="","",1-(1-Z31/(X31-Y31))^4)</f>
        <v/>
      </c>
      <c r="BD31" s="1" t="str">
        <f aca="false">IF(Z31="","",1-(1-(Z31+AA31)/(X31-Y31))^4)</f>
        <v/>
      </c>
      <c r="BE31" s="0" t="str">
        <f aca="false">IF(Y31="","",O31/(Y31+Z31+AA31))</f>
        <v/>
      </c>
      <c r="BF31" s="71"/>
      <c r="BG31" s="0" t="str">
        <f aca="false">IF(BF31="","",Q31-BF31)</f>
        <v/>
      </c>
      <c r="BH31" s="71"/>
      <c r="BI31" s="0" t="str">
        <f aca="false">IF(BH31="","",O31-BH31)</f>
        <v/>
      </c>
      <c r="BJ31" s="0" t="str">
        <f aca="false">IF(AS31="","",AS31-O31-AT31)</f>
        <v/>
      </c>
    </row>
    <row r="32" customFormat="false" ht="15" hidden="false" customHeight="true" outlineLevel="0" collapsed="false">
      <c r="A32" s="1" t="s">
        <v>129</v>
      </c>
      <c r="B32" s="1" t="s">
        <v>414</v>
      </c>
      <c r="C32" s="1" t="s">
        <v>360</v>
      </c>
      <c r="D32" s="1" t="s">
        <v>426</v>
      </c>
      <c r="E32" s="69" t="n">
        <v>43210</v>
      </c>
      <c r="F32" s="69" t="n">
        <v>43122</v>
      </c>
      <c r="G32" s="69" t="n">
        <v>43210</v>
      </c>
      <c r="H32" s="1" t="n">
        <v>88</v>
      </c>
      <c r="I32" s="1" t="s">
        <v>362</v>
      </c>
      <c r="J32" s="1" t="n">
        <v>-0.00328</v>
      </c>
      <c r="K32" s="1" t="n">
        <v>28</v>
      </c>
      <c r="L32" s="1" t="n">
        <v>0</v>
      </c>
      <c r="M32" s="1" t="n">
        <v>1413750000</v>
      </c>
      <c r="N32" s="1" t="n">
        <v>367109876.25</v>
      </c>
      <c r="O32" s="1" t="n">
        <v>8793525</v>
      </c>
      <c r="P32" s="1" t="n">
        <v>358316351.25</v>
      </c>
      <c r="Q32" s="1" t="n">
        <v>0.253451</v>
      </c>
      <c r="R32" s="1" t="n">
        <v>0</v>
      </c>
      <c r="T32" s="1" t="n">
        <v>141375</v>
      </c>
      <c r="U32" s="1" t="n">
        <v>62.2</v>
      </c>
      <c r="V32" s="1" t="n">
        <v>2596.71</v>
      </c>
      <c r="W32" s="1" t="n">
        <v>2534.51</v>
      </c>
      <c r="X32" s="1" t="n">
        <v>410014650.72</v>
      </c>
      <c r="AL32" s="1" t="n">
        <v>9765179.34</v>
      </c>
      <c r="AP32" s="1" t="s">
        <v>427</v>
      </c>
      <c r="AQ32" s="1" t="s">
        <v>369</v>
      </c>
      <c r="AR32" s="1" t="s">
        <v>370</v>
      </c>
      <c r="AX32" s="1" t="n">
        <f aca="false">IF(N32="","",N32-O32-P32)</f>
        <v>0</v>
      </c>
      <c r="AY32" s="1" t="n">
        <f aca="false">IF(Q32="","",P32/M32-Q32)</f>
        <v>0</v>
      </c>
      <c r="AZ32" s="1" t="n">
        <f aca="false">IF(U32="","",T32*U32-O32)</f>
        <v>0</v>
      </c>
      <c r="BA32" s="1" t="n">
        <f aca="false">IF(L32="","",L32-(J32+K32/10000))</f>
        <v>0.00048</v>
      </c>
      <c r="BB32" s="1" t="str">
        <f aca="false">IF(OR(R32="",R32=0,L32="",H32=""),"",N32*L32*H32/360/R32-1)</f>
        <v/>
      </c>
      <c r="BC32" s="1" t="str">
        <f aca="false">IF(Z32="","",1-(1-Z32/(X32-Y32))^4)</f>
        <v/>
      </c>
      <c r="BD32" s="1" t="str">
        <f aca="false">IF(Z32="","",1-(1-(Z32+AA32)/(X32-Y32))^4)</f>
        <v/>
      </c>
      <c r="BE32" s="0" t="str">
        <f aca="false">IF(Y32="","",O32/(Y32+Z32+AA32))</f>
        <v/>
      </c>
      <c r="BF32" s="71"/>
      <c r="BG32" s="0" t="str">
        <f aca="false">IF(BF32="","",Q32-BF32)</f>
        <v/>
      </c>
      <c r="BH32" s="71"/>
      <c r="BI32" s="0" t="str">
        <f aca="false">IF(BH32="","",O32-BH32)</f>
        <v/>
      </c>
      <c r="BJ32" s="0" t="str">
        <f aca="false">IF(AS32="","",AS32-O32-AT32)</f>
        <v/>
      </c>
    </row>
    <row r="33" customFormat="false" ht="15" hidden="false" customHeight="true" outlineLevel="0" collapsed="false">
      <c r="A33" s="1" t="s">
        <v>129</v>
      </c>
      <c r="B33" s="1" t="s">
        <v>414</v>
      </c>
      <c r="C33" s="1" t="s">
        <v>360</v>
      </c>
      <c r="D33" s="1" t="s">
        <v>428</v>
      </c>
      <c r="E33" s="69" t="n">
        <v>45677</v>
      </c>
      <c r="F33" s="69" t="n">
        <v>45586</v>
      </c>
      <c r="G33" s="69" t="n">
        <v>45677</v>
      </c>
      <c r="H33" s="1" t="n">
        <v>91</v>
      </c>
      <c r="I33" s="1" t="s">
        <v>362</v>
      </c>
      <c r="J33" s="1" t="n">
        <v>0.03219</v>
      </c>
      <c r="K33" s="1" t="n">
        <v>28</v>
      </c>
      <c r="L33" s="1" t="n">
        <v>0.03499</v>
      </c>
      <c r="M33" s="1" t="n">
        <v>1413750000</v>
      </c>
      <c r="N33" s="1" t="n">
        <v>170050091.25</v>
      </c>
      <c r="O33" s="1" t="n">
        <v>5424558.75</v>
      </c>
      <c r="P33" s="1" t="n">
        <v>164625532.5</v>
      </c>
      <c r="Q33" s="1" t="n">
        <v>0.116446</v>
      </c>
      <c r="R33" s="1" t="n">
        <v>1504041.1</v>
      </c>
      <c r="T33" s="1" t="n">
        <v>141375</v>
      </c>
      <c r="U33" s="1" t="n">
        <v>38.37</v>
      </c>
      <c r="V33" s="1" t="n">
        <v>1202.83</v>
      </c>
      <c r="W33" s="1" t="n">
        <v>1164.46</v>
      </c>
      <c r="X33" s="1" t="n">
        <v>189565807.16</v>
      </c>
      <c r="AL33" s="1" t="n">
        <v>5879318.24</v>
      </c>
      <c r="AP33" s="1" t="s">
        <v>429</v>
      </c>
      <c r="AQ33" s="1" t="s">
        <v>369</v>
      </c>
      <c r="AR33" s="1" t="s">
        <v>370</v>
      </c>
      <c r="AX33" s="1" t="n">
        <f aca="false">IF(N33="","",N33-O33-P33)</f>
        <v>0</v>
      </c>
      <c r="AY33" s="1" t="n">
        <f aca="false">IF(Q33="","",P33/M33-Q33)</f>
        <v>0</v>
      </c>
      <c r="AZ33" s="1" t="n">
        <f aca="false">IF(U33="","",T33*U33-O33)</f>
        <v>0</v>
      </c>
      <c r="BA33" s="1" t="n">
        <f aca="false">IF(L33="","",L33-(J33+K33/10000))</f>
        <v>0</v>
      </c>
      <c r="BB33" s="1" t="n">
        <f aca="false">IF(OR(R33="",R33=0,L33="",H33=""),"",N33*L33*H33/360/R33-1)</f>
        <v>-1.7578336564128E-009</v>
      </c>
      <c r="BC33" s="1" t="str">
        <f aca="false">IF(Z33="","",1-(1-Z33/(X33-Y33))^4)</f>
        <v/>
      </c>
      <c r="BD33" s="1" t="str">
        <f aca="false">IF(Z33="","",1-(1-(Z33+AA33)/(X33-Y33))^4)</f>
        <v/>
      </c>
      <c r="BE33" s="0" t="str">
        <f aca="false">IF(Y33="","",O33/(Y33+Z33+AA33))</f>
        <v/>
      </c>
      <c r="BF33" s="71"/>
      <c r="BG33" s="0" t="str">
        <f aca="false">IF(BF33="","",Q33-BF33)</f>
        <v/>
      </c>
      <c r="BH33" s="71"/>
      <c r="BI33" s="0" t="str">
        <f aca="false">IF(BH33="","",O33-BH33)</f>
        <v/>
      </c>
      <c r="BJ33" s="0" t="str">
        <f aca="false">IF(AS33="","",AS33-O33-AT33)</f>
        <v/>
      </c>
    </row>
    <row r="34" customFormat="false" ht="15" hidden="false" customHeight="true" outlineLevel="0" collapsed="false">
      <c r="A34" s="1" t="s">
        <v>129</v>
      </c>
      <c r="B34" s="1" t="s">
        <v>414</v>
      </c>
      <c r="C34" s="1" t="s">
        <v>360</v>
      </c>
      <c r="D34" s="1" t="s">
        <v>430</v>
      </c>
      <c r="E34" s="69" t="n">
        <v>46042</v>
      </c>
      <c r="F34" s="69" t="n">
        <v>45950</v>
      </c>
      <c r="G34" s="69" t="n">
        <v>46042</v>
      </c>
      <c r="H34" s="1" t="n">
        <v>92</v>
      </c>
      <c r="I34" s="1" t="s">
        <v>362</v>
      </c>
      <c r="J34" s="1" t="n">
        <v>0.02004</v>
      </c>
      <c r="K34" s="1" t="n">
        <v>28</v>
      </c>
      <c r="L34" s="1" t="n">
        <v>0.02284</v>
      </c>
      <c r="M34" s="1" t="n">
        <v>1413750000</v>
      </c>
      <c r="N34" s="1" t="n">
        <v>149957876.25</v>
      </c>
      <c r="O34" s="1" t="n">
        <v>5915130</v>
      </c>
      <c r="P34" s="1" t="n">
        <v>144042746.25</v>
      </c>
      <c r="Q34" s="1" t="n">
        <v>0.101887</v>
      </c>
      <c r="R34" s="1" t="n">
        <v>875287.46</v>
      </c>
      <c r="S34" s="1" t="n">
        <v>0</v>
      </c>
      <c r="T34" s="1" t="n">
        <v>141375</v>
      </c>
      <c r="U34" s="1" t="n">
        <v>41.84</v>
      </c>
      <c r="V34" s="1" t="n">
        <v>1060.71</v>
      </c>
      <c r="W34" s="1" t="n">
        <v>1018.87</v>
      </c>
      <c r="X34" s="1" t="n">
        <v>167685548.37</v>
      </c>
      <c r="Y34" s="1" t="n">
        <v>2525885.29</v>
      </c>
      <c r="Z34" s="1" t="n">
        <v>3731073.65</v>
      </c>
      <c r="AA34" s="1" t="n">
        <v>183051.94</v>
      </c>
      <c r="AB34" s="1" t="n">
        <v>0.0906</v>
      </c>
      <c r="AC34" s="1" t="n">
        <v>34539.67</v>
      </c>
      <c r="AD34" s="1" t="n">
        <v>94508.64</v>
      </c>
      <c r="AE34" s="1" t="n">
        <v>161245537.49</v>
      </c>
      <c r="AF34" s="1" t="n">
        <v>155381713.69</v>
      </c>
      <c r="AG34" s="1" t="n">
        <v>0.02869</v>
      </c>
      <c r="AH34" s="1" t="n">
        <v>163238.33</v>
      </c>
      <c r="AI34" s="1" t="n">
        <v>0.0037</v>
      </c>
      <c r="AJ34" s="1" t="s">
        <v>363</v>
      </c>
      <c r="AK34" s="1" t="n">
        <v>9000000</v>
      </c>
      <c r="AP34" s="1" t="s">
        <v>431</v>
      </c>
      <c r="AQ34" s="1" t="s">
        <v>365</v>
      </c>
      <c r="AR34" s="1" t="s">
        <v>366</v>
      </c>
      <c r="AU34" s="1" t="n">
        <v>11804951.25</v>
      </c>
      <c r="AV34" s="1" t="n">
        <v>11339373.75</v>
      </c>
      <c r="AW34" s="1" t="n">
        <v>161761755.6</v>
      </c>
      <c r="AX34" s="1" t="n">
        <f aca="false">IF(N34="","",N34-O34-P34)</f>
        <v>0</v>
      </c>
      <c r="AY34" s="1" t="n">
        <f aca="false">IF(Q34="","",P34/M34-Q34)</f>
        <v>0</v>
      </c>
      <c r="AZ34" s="1" t="n">
        <f aca="false">IF(U34="","",T34*U34-O34)</f>
        <v>0</v>
      </c>
      <c r="BA34" s="1" t="n">
        <f aca="false">IF(L34="","",L34-(J34+K34/10000))</f>
        <v>0</v>
      </c>
      <c r="BB34" s="1" t="n">
        <f aca="false">IF(OR(R34="",R34=0,L34="",H34=""),"",N34*L34*H34/360/R34-1)</f>
        <v>1.92508164964522E-009</v>
      </c>
      <c r="BC34" s="1" t="n">
        <f aca="false">IF(Z34="","",1-(1-Z34/(X34-Y34))^4)</f>
        <v>0.0873466451723165</v>
      </c>
      <c r="BD34" s="1" t="n">
        <f aca="false">IF(Z34="","",1-(1-(Z34+AA34)/(X34-Y34))^4)</f>
        <v>0.0914792222066554</v>
      </c>
      <c r="BE34" s="70" t="n">
        <f aca="false">IF(Y34="","",O34/(Y34+Z34+AA34))</f>
        <v>0.918496895458661</v>
      </c>
      <c r="BF34" s="71"/>
      <c r="BG34" s="0" t="str">
        <f aca="false">IF(BF34="","",Q34-BF34)</f>
        <v/>
      </c>
      <c r="BH34" s="71"/>
      <c r="BI34" s="0" t="str">
        <f aca="false">IF(BH34="","",O34-BH34)</f>
        <v/>
      </c>
      <c r="BJ34" s="0" t="str">
        <f aca="false">IF(AS34="","",AS34-O34-AT34)</f>
        <v/>
      </c>
    </row>
    <row r="35" customFormat="false" ht="15" hidden="false" customHeight="true" outlineLevel="0" collapsed="false">
      <c r="A35" s="1" t="s">
        <v>129</v>
      </c>
      <c r="B35" s="1" t="s">
        <v>414</v>
      </c>
      <c r="C35" s="1" t="s">
        <v>360</v>
      </c>
      <c r="D35" s="1" t="s">
        <v>432</v>
      </c>
      <c r="E35" s="69" t="n">
        <v>46132</v>
      </c>
      <c r="F35" s="69" t="n">
        <v>46042</v>
      </c>
      <c r="G35" s="69" t="n">
        <v>46132</v>
      </c>
      <c r="H35" s="1" t="n">
        <v>90</v>
      </c>
      <c r="I35" s="1" t="s">
        <v>362</v>
      </c>
      <c r="K35" s="1" t="n">
        <v>28</v>
      </c>
      <c r="M35" s="1" t="n">
        <v>1413750000</v>
      </c>
      <c r="N35" s="1" t="n">
        <v>144042746.25</v>
      </c>
      <c r="O35" s="1" t="n">
        <v>4709201.25</v>
      </c>
      <c r="P35" s="1" t="n">
        <v>139333545</v>
      </c>
      <c r="Q35" s="1" t="n">
        <v>0.0985563</v>
      </c>
      <c r="T35" s="1" t="n">
        <v>141375</v>
      </c>
      <c r="U35" s="1" t="n">
        <v>33.31</v>
      </c>
      <c r="V35" s="1" t="n">
        <v>1018.87</v>
      </c>
      <c r="W35" s="1" t="n">
        <v>985.56</v>
      </c>
      <c r="AP35" s="1" t="s">
        <v>433</v>
      </c>
      <c r="AQ35" s="1" t="s">
        <v>393</v>
      </c>
      <c r="AR35" s="1" t="s">
        <v>409</v>
      </c>
      <c r="AX35" s="1" t="n">
        <f aca="false">IF(N35="","",N35-O35-P35)</f>
        <v>0</v>
      </c>
      <c r="AY35" s="1" t="n">
        <f aca="false">IF(Q35="","",P35/M35-Q35)</f>
        <v>-2.99999999994749E-007</v>
      </c>
      <c r="AZ35" s="1" t="n">
        <f aca="false">IF(U35="","",T35*U35-O35)</f>
        <v>0</v>
      </c>
      <c r="BA35" s="1" t="str">
        <f aca="false">IF(L35="","",L35-(J35+K35/10000))</f>
        <v/>
      </c>
      <c r="BB35" s="1" t="str">
        <f aca="false">IF(OR(R35="",R35=0,L35="",H35=""),"",N35*L35*H35/360/R35-1)</f>
        <v/>
      </c>
      <c r="BC35" s="1" t="str">
        <f aca="false">IF(Z35="","",1-(1-Z35/(X35-Y35))^4)</f>
        <v/>
      </c>
      <c r="BD35" s="1" t="str">
        <f aca="false">IF(Z35="","",1-(1-(Z35+AA35)/(X35-Y35))^4)</f>
        <v/>
      </c>
      <c r="BE35" s="0" t="str">
        <f aca="false">IF(Y35="","",O35/(Y35+Z35+AA35))</f>
        <v/>
      </c>
      <c r="BF35" s="71"/>
      <c r="BG35" s="0" t="str">
        <f aca="false">IF(BF35="","",Q35-BF35)</f>
        <v/>
      </c>
      <c r="BH35" s="71"/>
      <c r="BI35" s="0" t="str">
        <f aca="false">IF(BH35="","",O35-BH35)</f>
        <v/>
      </c>
      <c r="BJ35" s="0" t="str">
        <f aca="false">IF(AS35="","",AS35-O35-AT35)</f>
        <v/>
      </c>
    </row>
    <row r="36" customFormat="false" ht="15" hidden="false" customHeight="true" outlineLevel="0" collapsed="false">
      <c r="A36" s="1" t="s">
        <v>129</v>
      </c>
      <c r="B36" s="1" t="s">
        <v>414</v>
      </c>
      <c r="C36" s="1" t="s">
        <v>360</v>
      </c>
      <c r="D36" s="1" t="s">
        <v>434</v>
      </c>
      <c r="E36" s="69" t="n">
        <v>46223</v>
      </c>
      <c r="F36" s="69" t="n">
        <v>46132</v>
      </c>
      <c r="G36" s="69" t="n">
        <v>46223</v>
      </c>
      <c r="H36" s="1" t="n">
        <v>91</v>
      </c>
      <c r="I36" s="1" t="s">
        <v>362</v>
      </c>
      <c r="J36" s="1" t="n">
        <v>0.02238</v>
      </c>
      <c r="K36" s="1" t="n">
        <v>28</v>
      </c>
      <c r="L36" s="1" t="n">
        <v>0.02518</v>
      </c>
      <c r="M36" s="1" t="n">
        <v>1413750000</v>
      </c>
      <c r="N36" s="1" t="n">
        <v>139333545</v>
      </c>
      <c r="O36" s="1" t="n">
        <v>4089978.75</v>
      </c>
      <c r="P36" s="1" t="n">
        <v>135243566.25</v>
      </c>
      <c r="Q36" s="1" t="n">
        <v>0.095663</v>
      </c>
      <c r="R36" s="1" t="n">
        <v>886850.27</v>
      </c>
      <c r="S36" s="1" t="n">
        <v>0</v>
      </c>
      <c r="T36" s="1" t="n">
        <v>141375</v>
      </c>
      <c r="U36" s="1" t="n">
        <v>28.93</v>
      </c>
      <c r="V36" s="1" t="n">
        <v>985.56</v>
      </c>
      <c r="W36" s="1" t="n">
        <v>956.63</v>
      </c>
      <c r="X36" s="1" t="n">
        <v>156035710.29</v>
      </c>
      <c r="Y36" s="1" t="n">
        <v>2411455.06</v>
      </c>
      <c r="Z36" s="1" t="n">
        <v>1967231.3</v>
      </c>
      <c r="AA36" s="1" t="n">
        <v>115717.72</v>
      </c>
      <c r="AB36" s="1" t="n">
        <v>0.0522</v>
      </c>
      <c r="AC36" s="1" t="n">
        <v>2446.68</v>
      </c>
      <c r="AD36" s="1" t="n">
        <v>84634.26</v>
      </c>
      <c r="AE36" s="1" t="n">
        <v>151541306.21</v>
      </c>
      <c r="AF36" s="1" t="n">
        <v>145889060.68</v>
      </c>
      <c r="AG36" s="1" t="n">
        <v>0.02996</v>
      </c>
      <c r="AH36" s="1" t="n">
        <v>84628.09</v>
      </c>
      <c r="AI36" s="1" t="n">
        <v>0.0036</v>
      </c>
      <c r="AJ36" s="1" t="s">
        <v>363</v>
      </c>
      <c r="AK36" s="1" t="n">
        <v>9000000</v>
      </c>
      <c r="AP36" s="1" t="s">
        <v>435</v>
      </c>
      <c r="AQ36" s="1" t="s">
        <v>365</v>
      </c>
      <c r="AR36" s="1" t="s">
        <v>366</v>
      </c>
      <c r="AU36" s="1" t="n">
        <v>10968671.25</v>
      </c>
      <c r="AV36" s="1" t="n">
        <v>10646700</v>
      </c>
      <c r="AW36" s="1" t="n">
        <v>150301277.18</v>
      </c>
      <c r="AX36" s="1" t="n">
        <f aca="false">IF(N36="","",N36-O36-P36)</f>
        <v>0</v>
      </c>
      <c r="AY36" s="1" t="n">
        <f aca="false">IF(Q36="","",P36/M36-Q36)</f>
        <v>0</v>
      </c>
      <c r="AZ36" s="1" t="n">
        <f aca="false">IF(U36="","",T36*U36-O36)</f>
        <v>0</v>
      </c>
      <c r="BA36" s="1" t="n">
        <f aca="false">IF(L36="","",L36-(J36+K36/10000))</f>
        <v>0</v>
      </c>
      <c r="BB36" s="1" t="n">
        <f aca="false">IF(OR(R36="",R36=0,L36="",H36=""),"",N36*L36*H36/360/R36-1)</f>
        <v>3.5772669271239E-009</v>
      </c>
      <c r="BC36" s="1" t="n">
        <f aca="false">IF(Z36="","",1-(1-Z36/(X36-Y36))^4)</f>
        <v>0.0502463848410043</v>
      </c>
      <c r="BD36" s="1" t="n">
        <f aca="false">IF(Z36="","",1-(1-(Z36+AA36)/(X36-Y36))^4)</f>
        <v>0.0531418023027599</v>
      </c>
      <c r="BE36" s="70" t="n">
        <f aca="false">IF(Y36="","",O36/(Y36+Z36+AA36))</f>
        <v>0.910015805699429</v>
      </c>
      <c r="BF36" s="71"/>
      <c r="BG36" s="0" t="str">
        <f aca="false">IF(BF36="","",Q36-BF36)</f>
        <v/>
      </c>
      <c r="BH36" s="71"/>
      <c r="BI36" s="0" t="str">
        <f aca="false">IF(BH36="","",O36-BH36)</f>
        <v/>
      </c>
      <c r="BJ36" s="0" t="str">
        <f aca="false">IF(AS36="","",AS36-O36-AT36)</f>
        <v/>
      </c>
    </row>
    <row r="37" customFormat="false" ht="15" hidden="false" customHeight="true" outlineLevel="0" collapsed="false">
      <c r="A37" s="1" t="s">
        <v>156</v>
      </c>
      <c r="B37" s="1" t="s">
        <v>158</v>
      </c>
      <c r="C37" s="1" t="s">
        <v>360</v>
      </c>
      <c r="D37" s="1" t="s">
        <v>436</v>
      </c>
      <c r="E37" s="69" t="n">
        <v>44223</v>
      </c>
      <c r="I37" s="1" t="s">
        <v>362</v>
      </c>
      <c r="K37" s="1" t="n">
        <v>12</v>
      </c>
      <c r="M37" s="1" t="n">
        <v>1944000000</v>
      </c>
      <c r="N37" s="1" t="n">
        <v>302596000</v>
      </c>
      <c r="O37" s="1" t="n">
        <v>12509000</v>
      </c>
      <c r="P37" s="1" t="n">
        <v>290087000</v>
      </c>
      <c r="Q37" s="1" t="n">
        <v>0.14922171</v>
      </c>
      <c r="R37" s="1" t="n">
        <v>0</v>
      </c>
      <c r="T37" s="1" t="n">
        <v>19440</v>
      </c>
      <c r="AP37" s="1" t="s">
        <v>437</v>
      </c>
      <c r="AQ37" s="1" t="s">
        <v>438</v>
      </c>
      <c r="AR37" s="1" t="s">
        <v>439</v>
      </c>
      <c r="AX37" s="1" t="n">
        <f aca="false">IF(N37="","",N37-O37-P37)</f>
        <v>0</v>
      </c>
      <c r="AY37" s="1" t="n">
        <f aca="false">IF(Q37="","",P37/M37-Q37)</f>
        <v>-2.18106996352496E-009</v>
      </c>
      <c r="AZ37" s="1" t="str">
        <f aca="false">IF(U37="","",T37*U37-O37)</f>
        <v/>
      </c>
      <c r="BA37" s="1" t="str">
        <f aca="false">IF(L37="","",L37-(J37+K37/10000))</f>
        <v/>
      </c>
      <c r="BB37" s="1" t="str">
        <f aca="false">IF(OR(R37="",R37=0,L37="",H37=""),"",N37*L37*H37/360/R37-1)</f>
        <v/>
      </c>
      <c r="BC37" s="1" t="str">
        <f aca="false">IF(Z37="","",1-(1-Z37/(X37-Y37))^4)</f>
        <v/>
      </c>
      <c r="BD37" s="1" t="str">
        <f aca="false">IF(Z37="","",1-(1-(Z37+AA37)/(X37-Y37))^4)</f>
        <v/>
      </c>
      <c r="BE37" s="0" t="str">
        <f aca="false">IF(Y37="","",O37/(Y37+Z37+AA37))</f>
        <v/>
      </c>
      <c r="BF37" s="71"/>
      <c r="BG37" s="0" t="str">
        <f aca="false">IF(BF37="","",Q37-BF37)</f>
        <v/>
      </c>
      <c r="BH37" s="71"/>
      <c r="BI37" s="0" t="str">
        <f aca="false">IF(BH37="","",O37-BH37)</f>
        <v/>
      </c>
      <c r="BJ37" s="0" t="str">
        <f aca="false">IF(AS37="","",AS37-O37-AT37)</f>
        <v/>
      </c>
    </row>
    <row r="38" customFormat="false" ht="15" hidden="false" customHeight="true" outlineLevel="0" collapsed="false">
      <c r="A38" s="1" t="s">
        <v>156</v>
      </c>
      <c r="B38" s="1" t="s">
        <v>158</v>
      </c>
      <c r="C38" s="1" t="s">
        <v>360</v>
      </c>
      <c r="D38" s="1" t="s">
        <v>440</v>
      </c>
      <c r="E38" s="69" t="n">
        <v>44313</v>
      </c>
      <c r="I38" s="1" t="s">
        <v>362</v>
      </c>
      <c r="K38" s="1" t="n">
        <v>12</v>
      </c>
      <c r="M38" s="1" t="n">
        <v>1944000000</v>
      </c>
      <c r="N38" s="1" t="n">
        <v>290087000</v>
      </c>
      <c r="O38" s="1" t="n">
        <v>11835000</v>
      </c>
      <c r="P38" s="1" t="n">
        <v>278252000</v>
      </c>
      <c r="Q38" s="1" t="n">
        <v>0.14313374</v>
      </c>
      <c r="R38" s="1" t="n">
        <v>0</v>
      </c>
      <c r="T38" s="1" t="n">
        <v>19440</v>
      </c>
      <c r="AP38" s="1" t="s">
        <v>437</v>
      </c>
      <c r="AQ38" s="1" t="s">
        <v>438</v>
      </c>
      <c r="AR38" s="1" t="s">
        <v>439</v>
      </c>
      <c r="AX38" s="1" t="n">
        <f aca="false">IF(N38="","",N38-O38-P38)</f>
        <v>0</v>
      </c>
      <c r="AY38" s="1" t="n">
        <f aca="false">IF(Q38="","",P38/M38-Q38)</f>
        <v>4.85596707289204E-009</v>
      </c>
      <c r="AZ38" s="1" t="str">
        <f aca="false">IF(U38="","",T38*U38-O38)</f>
        <v/>
      </c>
      <c r="BA38" s="1" t="str">
        <f aca="false">IF(L38="","",L38-(J38+K38/10000))</f>
        <v/>
      </c>
      <c r="BB38" s="1" t="str">
        <f aca="false">IF(OR(R38="",R38=0,L38="",H38=""),"",N38*L38*H38/360/R38-1)</f>
        <v/>
      </c>
      <c r="BC38" s="1" t="str">
        <f aca="false">IF(Z38="","",1-(1-Z38/(X38-Y38))^4)</f>
        <v/>
      </c>
      <c r="BD38" s="1" t="str">
        <f aca="false">IF(Z38="","",1-(1-(Z38+AA38)/(X38-Y38))^4)</f>
        <v/>
      </c>
      <c r="BE38" s="0" t="str">
        <f aca="false">IF(Y38="","",O38/(Y38+Z38+AA38))</f>
        <v/>
      </c>
      <c r="BF38" s="71"/>
      <c r="BG38" s="0" t="str">
        <f aca="false">IF(BF38="","",Q38-BF38)</f>
        <v/>
      </c>
      <c r="BH38" s="71"/>
      <c r="BI38" s="0" t="str">
        <f aca="false">IF(BH38="","",O38-BH38)</f>
        <v/>
      </c>
      <c r="BJ38" s="0" t="str">
        <f aca="false">IF(AS38="","",AS38-O38-AT38)</f>
        <v/>
      </c>
    </row>
    <row r="39" customFormat="false" ht="15" hidden="false" customHeight="true" outlineLevel="0" collapsed="false">
      <c r="A39" s="1" t="s">
        <v>156</v>
      </c>
      <c r="B39" s="1" t="s">
        <v>158</v>
      </c>
      <c r="C39" s="1" t="s">
        <v>360</v>
      </c>
      <c r="D39" s="1" t="s">
        <v>441</v>
      </c>
      <c r="E39" s="69" t="n">
        <v>44404</v>
      </c>
      <c r="I39" s="1" t="s">
        <v>362</v>
      </c>
      <c r="K39" s="1" t="n">
        <v>12</v>
      </c>
      <c r="M39" s="1" t="n">
        <v>1944000000</v>
      </c>
      <c r="N39" s="1" t="n">
        <v>278252000</v>
      </c>
      <c r="O39" s="1" t="n">
        <v>11382000</v>
      </c>
      <c r="P39" s="1" t="n">
        <v>266870000</v>
      </c>
      <c r="Q39" s="1" t="n">
        <v>0.13727881</v>
      </c>
      <c r="R39" s="1" t="n">
        <v>0</v>
      </c>
      <c r="T39" s="1" t="n">
        <v>19440</v>
      </c>
      <c r="AP39" s="1" t="s">
        <v>437</v>
      </c>
      <c r="AQ39" s="1" t="s">
        <v>438</v>
      </c>
      <c r="AR39" s="1" t="s">
        <v>439</v>
      </c>
      <c r="AX39" s="1" t="n">
        <f aca="false">IF(N39="","",N39-O39-P39)</f>
        <v>0</v>
      </c>
      <c r="AY39" s="1" t="n">
        <f aca="false">IF(Q39="","",P39/M39-Q39)</f>
        <v>-3.41563785588583E-009</v>
      </c>
      <c r="AZ39" s="1" t="str">
        <f aca="false">IF(U39="","",T39*U39-O39)</f>
        <v/>
      </c>
      <c r="BA39" s="1" t="str">
        <f aca="false">IF(L39="","",L39-(J39+K39/10000))</f>
        <v/>
      </c>
      <c r="BB39" s="1" t="str">
        <f aca="false">IF(OR(R39="",R39=0,L39="",H39=""),"",N39*L39*H39/360/R39-1)</f>
        <v/>
      </c>
      <c r="BC39" s="1" t="str">
        <f aca="false">IF(Z39="","",1-(1-Z39/(X39-Y39))^4)</f>
        <v/>
      </c>
      <c r="BD39" s="1" t="str">
        <f aca="false">IF(Z39="","",1-(1-(Z39+AA39)/(X39-Y39))^4)</f>
        <v/>
      </c>
      <c r="BE39" s="0" t="str">
        <f aca="false">IF(Y39="","",O39/(Y39+Z39+AA39))</f>
        <v/>
      </c>
      <c r="BF39" s="71"/>
      <c r="BG39" s="0" t="str">
        <f aca="false">IF(BF39="","",Q39-BF39)</f>
        <v/>
      </c>
      <c r="BH39" s="71"/>
      <c r="BI39" s="0" t="str">
        <f aca="false">IF(BH39="","",O39-BH39)</f>
        <v/>
      </c>
      <c r="BJ39" s="0" t="str">
        <f aca="false">IF(AS39="","",AS39-O39-AT39)</f>
        <v/>
      </c>
    </row>
    <row r="40" customFormat="false" ht="15" hidden="false" customHeight="true" outlineLevel="0" collapsed="false">
      <c r="A40" s="1" t="s">
        <v>156</v>
      </c>
      <c r="B40" s="1" t="s">
        <v>158</v>
      </c>
      <c r="C40" s="1" t="s">
        <v>360</v>
      </c>
      <c r="D40" s="1" t="s">
        <v>442</v>
      </c>
      <c r="E40" s="69" t="n">
        <v>44495</v>
      </c>
      <c r="I40" s="1" t="s">
        <v>362</v>
      </c>
      <c r="K40" s="1" t="n">
        <v>12</v>
      </c>
      <c r="M40" s="1" t="n">
        <v>1944000000</v>
      </c>
      <c r="N40" s="1" t="n">
        <v>266870000</v>
      </c>
      <c r="O40" s="1" t="n">
        <v>11445000</v>
      </c>
      <c r="P40" s="1" t="n">
        <v>255425000</v>
      </c>
      <c r="Q40" s="1" t="n">
        <v>0.13139146</v>
      </c>
      <c r="R40" s="1" t="n">
        <v>0</v>
      </c>
      <c r="T40" s="1" t="n">
        <v>19440</v>
      </c>
      <c r="AP40" s="1" t="s">
        <v>437</v>
      </c>
      <c r="AQ40" s="1" t="s">
        <v>438</v>
      </c>
      <c r="AR40" s="1" t="s">
        <v>439</v>
      </c>
      <c r="AX40" s="1" t="n">
        <f aca="false">IF(N40="","",N40-O40-P40)</f>
        <v>0</v>
      </c>
      <c r="AY40" s="1" t="n">
        <f aca="false">IF(Q40="","",P40/M40-Q40)</f>
        <v>9.05349795132793E-010</v>
      </c>
      <c r="AZ40" s="1" t="str">
        <f aca="false">IF(U40="","",T40*U40-O40)</f>
        <v/>
      </c>
      <c r="BA40" s="1" t="str">
        <f aca="false">IF(L40="","",L40-(J40+K40/10000))</f>
        <v/>
      </c>
      <c r="BB40" s="1" t="str">
        <f aca="false">IF(OR(R40="",R40=0,L40="",H40=""),"",N40*L40*H40/360/R40-1)</f>
        <v/>
      </c>
      <c r="BC40" s="1" t="str">
        <f aca="false">IF(Z40="","",1-(1-Z40/(X40-Y40))^4)</f>
        <v/>
      </c>
      <c r="BD40" s="1" t="str">
        <f aca="false">IF(Z40="","",1-(1-(Z40+AA40)/(X40-Y40))^4)</f>
        <v/>
      </c>
      <c r="BE40" s="0" t="str">
        <f aca="false">IF(Y40="","",O40/(Y40+Z40+AA40))</f>
        <v/>
      </c>
      <c r="BF40" s="71"/>
      <c r="BG40" s="0" t="str">
        <f aca="false">IF(BF40="","",Q40-BF40)</f>
        <v/>
      </c>
      <c r="BH40" s="71"/>
      <c r="BI40" s="0" t="str">
        <f aca="false">IF(BH40="","",O40-BH40)</f>
        <v/>
      </c>
      <c r="BJ40" s="0" t="str">
        <f aca="false">IF(AS40="","",AS40-O40-AT40)</f>
        <v/>
      </c>
    </row>
    <row r="41" customFormat="false" ht="15" hidden="false" customHeight="true" outlineLevel="0" collapsed="false">
      <c r="A41" s="1" t="s">
        <v>156</v>
      </c>
      <c r="B41" s="1" t="s">
        <v>158</v>
      </c>
      <c r="C41" s="1" t="s">
        <v>360</v>
      </c>
      <c r="D41" s="1" t="s">
        <v>443</v>
      </c>
      <c r="E41" s="69" t="n">
        <v>44587</v>
      </c>
      <c r="I41" s="1" t="s">
        <v>362</v>
      </c>
      <c r="K41" s="1" t="n">
        <v>12</v>
      </c>
      <c r="M41" s="1" t="n">
        <v>1944000000</v>
      </c>
      <c r="N41" s="1" t="n">
        <v>255425000</v>
      </c>
      <c r="O41" s="1" t="n">
        <v>12077000</v>
      </c>
      <c r="P41" s="1" t="n">
        <v>243348000</v>
      </c>
      <c r="Q41" s="1" t="n">
        <v>0.12517901</v>
      </c>
      <c r="R41" s="1" t="n">
        <v>0</v>
      </c>
      <c r="T41" s="1" t="n">
        <v>19440</v>
      </c>
      <c r="AP41" s="1" t="s">
        <v>437</v>
      </c>
      <c r="AQ41" s="1" t="s">
        <v>438</v>
      </c>
      <c r="AR41" s="1" t="s">
        <v>439</v>
      </c>
      <c r="AX41" s="1" t="n">
        <f aca="false">IF(N41="","",N41-O41-P41)</f>
        <v>0</v>
      </c>
      <c r="AY41" s="1" t="n">
        <f aca="false">IF(Q41="","",P41/M41-Q41)</f>
        <v>2.345679012139E-009</v>
      </c>
      <c r="AZ41" s="1" t="str">
        <f aca="false">IF(U41="","",T41*U41-O41)</f>
        <v/>
      </c>
      <c r="BA41" s="1" t="str">
        <f aca="false">IF(L41="","",L41-(J41+K41/10000))</f>
        <v/>
      </c>
      <c r="BB41" s="1" t="str">
        <f aca="false">IF(OR(R41="",R41=0,L41="",H41=""),"",N41*L41*H41/360/R41-1)</f>
        <v/>
      </c>
      <c r="BC41" s="1" t="str">
        <f aca="false">IF(Z41="","",1-(1-Z41/(X41-Y41))^4)</f>
        <v/>
      </c>
      <c r="BD41" s="1" t="str">
        <f aca="false">IF(Z41="","",1-(1-(Z41+AA41)/(X41-Y41))^4)</f>
        <v/>
      </c>
      <c r="BE41" s="0" t="str">
        <f aca="false">IF(Y41="","",O41/(Y41+Z41+AA41))</f>
        <v/>
      </c>
      <c r="BF41" s="71"/>
      <c r="BG41" s="0" t="str">
        <f aca="false">IF(BF41="","",Q41-BF41)</f>
        <v/>
      </c>
      <c r="BH41" s="71"/>
      <c r="BI41" s="0" t="str">
        <f aca="false">IF(BH41="","",O41-BH41)</f>
        <v/>
      </c>
      <c r="BJ41" s="0" t="str">
        <f aca="false">IF(AS41="","",AS41-O41-AT41)</f>
        <v/>
      </c>
    </row>
    <row r="42" customFormat="false" ht="15" hidden="false" customHeight="true" outlineLevel="0" collapsed="false">
      <c r="A42" s="1" t="s">
        <v>156</v>
      </c>
      <c r="B42" s="1" t="s">
        <v>158</v>
      </c>
      <c r="C42" s="1" t="s">
        <v>360</v>
      </c>
      <c r="D42" s="1" t="s">
        <v>444</v>
      </c>
      <c r="E42" s="69" t="n">
        <v>44677</v>
      </c>
      <c r="I42" s="1" t="s">
        <v>362</v>
      </c>
      <c r="K42" s="1" t="n">
        <v>12</v>
      </c>
      <c r="M42" s="1" t="n">
        <v>1944000000</v>
      </c>
      <c r="N42" s="1" t="n">
        <v>243348000</v>
      </c>
      <c r="O42" s="1" t="n">
        <v>11449000</v>
      </c>
      <c r="P42" s="1" t="n">
        <v>231899000</v>
      </c>
      <c r="Q42" s="1" t="n">
        <v>0.11928961</v>
      </c>
      <c r="R42" s="1" t="n">
        <v>0</v>
      </c>
      <c r="T42" s="1" t="n">
        <v>19440</v>
      </c>
      <c r="AP42" s="1" t="s">
        <v>437</v>
      </c>
      <c r="AQ42" s="1" t="s">
        <v>438</v>
      </c>
      <c r="AR42" s="1" t="s">
        <v>439</v>
      </c>
      <c r="AX42" s="1" t="n">
        <f aca="false">IF(N42="","",N42-O42-P42)</f>
        <v>0</v>
      </c>
      <c r="AY42" s="1" t="n">
        <f aca="false">IF(Q42="","",P42/M42-Q42)</f>
        <v>-9.46502057286303E-010</v>
      </c>
      <c r="AZ42" s="1" t="str">
        <f aca="false">IF(U42="","",T42*U42-O42)</f>
        <v/>
      </c>
      <c r="BA42" s="1" t="str">
        <f aca="false">IF(L42="","",L42-(J42+K42/10000))</f>
        <v/>
      </c>
      <c r="BB42" s="1" t="str">
        <f aca="false">IF(OR(R42="",R42=0,L42="",H42=""),"",N42*L42*H42/360/R42-1)</f>
        <v/>
      </c>
      <c r="BC42" s="1" t="str">
        <f aca="false">IF(Z42="","",1-(1-Z42/(X42-Y42))^4)</f>
        <v/>
      </c>
      <c r="BD42" s="1" t="str">
        <f aca="false">IF(Z42="","",1-(1-(Z42+AA42)/(X42-Y42))^4)</f>
        <v/>
      </c>
      <c r="BE42" s="0" t="str">
        <f aca="false">IF(Y42="","",O42/(Y42+Z42+AA42))</f>
        <v/>
      </c>
      <c r="BF42" s="71"/>
      <c r="BG42" s="0" t="str">
        <f aca="false">IF(BF42="","",Q42-BF42)</f>
        <v/>
      </c>
      <c r="BH42" s="71"/>
      <c r="BI42" s="0" t="str">
        <f aca="false">IF(BH42="","",O42-BH42)</f>
        <v/>
      </c>
      <c r="BJ42" s="0" t="str">
        <f aca="false">IF(AS42="","",AS42-O42-AT42)</f>
        <v/>
      </c>
    </row>
    <row r="43" customFormat="false" ht="15" hidden="false" customHeight="true" outlineLevel="0" collapsed="false">
      <c r="A43" s="1" t="s">
        <v>156</v>
      </c>
      <c r="B43" s="1" t="s">
        <v>158</v>
      </c>
      <c r="C43" s="1" t="s">
        <v>360</v>
      </c>
      <c r="D43" s="1" t="s">
        <v>445</v>
      </c>
      <c r="E43" s="69" t="n">
        <v>44768</v>
      </c>
      <c r="I43" s="1" t="s">
        <v>362</v>
      </c>
      <c r="K43" s="1" t="n">
        <v>12</v>
      </c>
      <c r="M43" s="1" t="n">
        <v>1944000000</v>
      </c>
      <c r="N43" s="1" t="n">
        <v>231899000</v>
      </c>
      <c r="O43" s="1" t="n">
        <v>11678000</v>
      </c>
      <c r="P43" s="1" t="n">
        <v>220221000</v>
      </c>
      <c r="Q43" s="1" t="n">
        <v>0.11328241</v>
      </c>
      <c r="R43" s="1" t="n">
        <v>0</v>
      </c>
      <c r="T43" s="1" t="n">
        <v>19440</v>
      </c>
      <c r="AP43" s="1" t="s">
        <v>437</v>
      </c>
      <c r="AQ43" s="1" t="s">
        <v>438</v>
      </c>
      <c r="AR43" s="1" t="s">
        <v>439</v>
      </c>
      <c r="AX43" s="1" t="n">
        <f aca="false">IF(N43="","",N43-O43-P43)</f>
        <v>0</v>
      </c>
      <c r="AY43" s="1" t="n">
        <f aca="false">IF(Q43="","",P43/M43-Q43)</f>
        <v>-2.59259259893785E-009</v>
      </c>
      <c r="AZ43" s="1" t="str">
        <f aca="false">IF(U43="","",T43*U43-O43)</f>
        <v/>
      </c>
      <c r="BA43" s="1" t="str">
        <f aca="false">IF(L43="","",L43-(J43+K43/10000))</f>
        <v/>
      </c>
      <c r="BB43" s="1" t="str">
        <f aca="false">IF(OR(R43="",R43=0,L43="",H43=""),"",N43*L43*H43/360/R43-1)</f>
        <v/>
      </c>
      <c r="BC43" s="1" t="str">
        <f aca="false">IF(Z43="","",1-(1-Z43/(X43-Y43))^4)</f>
        <v/>
      </c>
      <c r="BD43" s="1" t="str">
        <f aca="false">IF(Z43="","",1-(1-(Z43+AA43)/(X43-Y43))^4)</f>
        <v/>
      </c>
      <c r="BE43" s="0" t="str">
        <f aca="false">IF(Y43="","",O43/(Y43+Z43+AA43))</f>
        <v/>
      </c>
      <c r="BF43" s="71"/>
      <c r="BG43" s="0" t="str">
        <f aca="false">IF(BF43="","",Q43-BF43)</f>
        <v/>
      </c>
      <c r="BH43" s="71"/>
      <c r="BI43" s="0" t="str">
        <f aca="false">IF(BH43="","",O43-BH43)</f>
        <v/>
      </c>
      <c r="BJ43" s="0" t="str">
        <f aca="false">IF(AS43="","",AS43-O43-AT43)</f>
        <v/>
      </c>
    </row>
    <row r="44" customFormat="false" ht="15" hidden="false" customHeight="true" outlineLevel="0" collapsed="false">
      <c r="A44" s="1" t="s">
        <v>156</v>
      </c>
      <c r="B44" s="1" t="s">
        <v>158</v>
      </c>
      <c r="C44" s="1" t="s">
        <v>360</v>
      </c>
      <c r="D44" s="1" t="s">
        <v>446</v>
      </c>
      <c r="E44" s="69" t="n">
        <v>44860</v>
      </c>
      <c r="I44" s="1" t="s">
        <v>362</v>
      </c>
      <c r="K44" s="1" t="n">
        <v>12</v>
      </c>
      <c r="M44" s="1" t="n">
        <v>1944000000</v>
      </c>
      <c r="N44" s="1" t="n">
        <v>220221000</v>
      </c>
      <c r="O44" s="1" t="n">
        <v>10157000</v>
      </c>
      <c r="P44" s="1" t="n">
        <v>210064000</v>
      </c>
      <c r="Q44" s="1" t="n">
        <v>0.10805761</v>
      </c>
      <c r="R44" s="1" t="n">
        <v>149000</v>
      </c>
      <c r="T44" s="1" t="n">
        <v>19440</v>
      </c>
      <c r="AP44" s="1" t="s">
        <v>437</v>
      </c>
      <c r="AQ44" s="1" t="s">
        <v>438</v>
      </c>
      <c r="AR44" s="1" t="s">
        <v>439</v>
      </c>
      <c r="AX44" s="1" t="n">
        <f aca="false">IF(N44="","",N44-O44-P44)</f>
        <v>0</v>
      </c>
      <c r="AY44" s="1" t="n">
        <f aca="false">IF(Q44="","",P44/M44-Q44)</f>
        <v>3.16872428296477E-009</v>
      </c>
      <c r="AZ44" s="1" t="str">
        <f aca="false">IF(U44="","",T44*U44-O44)</f>
        <v/>
      </c>
      <c r="BA44" s="1" t="str">
        <f aca="false">IF(L44="","",L44-(J44+K44/10000))</f>
        <v/>
      </c>
      <c r="BB44" s="1" t="str">
        <f aca="false">IF(OR(R44="",R44=0,L44="",H44=""),"",N44*L44*H44/360/R44-1)</f>
        <v/>
      </c>
      <c r="BC44" s="1" t="str">
        <f aca="false">IF(Z44="","",1-(1-Z44/(X44-Y44))^4)</f>
        <v/>
      </c>
      <c r="BD44" s="1" t="str">
        <f aca="false">IF(Z44="","",1-(1-(Z44+AA44)/(X44-Y44))^4)</f>
        <v/>
      </c>
      <c r="BE44" s="0" t="str">
        <f aca="false">IF(Y44="","",O44/(Y44+Z44+AA44))</f>
        <v/>
      </c>
      <c r="BF44" s="71"/>
      <c r="BG44" s="0" t="str">
        <f aca="false">IF(BF44="","",Q44-BF44)</f>
        <v/>
      </c>
      <c r="BH44" s="71"/>
      <c r="BI44" s="0" t="str">
        <f aca="false">IF(BH44="","",O44-BH44)</f>
        <v/>
      </c>
      <c r="BJ44" s="0" t="str">
        <f aca="false">IF(AS44="","",AS44-O44-AT44)</f>
        <v/>
      </c>
    </row>
    <row r="45" customFormat="false" ht="15" hidden="false" customHeight="true" outlineLevel="0" collapsed="false">
      <c r="A45" s="1" t="s">
        <v>182</v>
      </c>
      <c r="B45" s="1" t="s">
        <v>184</v>
      </c>
      <c r="C45" s="1" t="s">
        <v>360</v>
      </c>
      <c r="D45" s="1" t="s">
        <v>447</v>
      </c>
      <c r="E45" s="69" t="n">
        <v>44069</v>
      </c>
      <c r="M45" s="1" t="n">
        <v>1635400000</v>
      </c>
      <c r="P45" s="1" t="n">
        <v>306555402.92</v>
      </c>
      <c r="Q45" s="1" t="n">
        <v>0.1874498</v>
      </c>
      <c r="T45" s="1" t="n">
        <v>16354</v>
      </c>
      <c r="AP45" s="1" t="s">
        <v>448</v>
      </c>
      <c r="AQ45" s="1" t="s">
        <v>449</v>
      </c>
      <c r="AR45" s="1" t="s">
        <v>450</v>
      </c>
      <c r="AX45" s="1" t="str">
        <f aca="false">IF(N45="","",N45-O45-P45)</f>
        <v/>
      </c>
      <c r="AY45" s="1" t="n">
        <f aca="false">IF(Q45="","",P45/M45-Q45)</f>
        <v>0</v>
      </c>
      <c r="AZ45" s="1" t="str">
        <f aca="false">IF(U45="","",T45*U45-O45)</f>
        <v/>
      </c>
      <c r="BA45" s="1" t="str">
        <f aca="false">IF(L45="","",L45-(J45+K45/10000))</f>
        <v/>
      </c>
      <c r="BB45" s="1" t="str">
        <f aca="false">IF(OR(R45="",R45=0,L45="",H45=""),"",N45*L45*H45/360/R45-1)</f>
        <v/>
      </c>
      <c r="BC45" s="1" t="str">
        <f aca="false">IF(Z45="","",1-(1-Z45/(X45-Y45))^4)</f>
        <v/>
      </c>
      <c r="BD45" s="1" t="str">
        <f aca="false">IF(Z45="","",1-(1-(Z45+AA45)/(X45-Y45))^4)</f>
        <v/>
      </c>
      <c r="BE45" s="0" t="str">
        <f aca="false">IF(Y45="","",O45/(Y45+Z45+AA45))</f>
        <v/>
      </c>
      <c r="BF45" s="71"/>
      <c r="BG45" s="0" t="str">
        <f aca="false">IF(BF45="","",Q45-BF45)</f>
        <v/>
      </c>
      <c r="BH45" s="71"/>
      <c r="BI45" s="0" t="str">
        <f aca="false">IF(BH45="","",O45-BH45)</f>
        <v/>
      </c>
      <c r="BJ45" s="0" t="str">
        <f aca="false">IF(AS45="","",AS45-O45-AT45)</f>
        <v/>
      </c>
    </row>
    <row r="46" customFormat="false" ht="15" hidden="false" customHeight="true" outlineLevel="0" collapsed="false">
      <c r="A46" s="1" t="s">
        <v>182</v>
      </c>
      <c r="D46" s="1" t="s">
        <v>383</v>
      </c>
      <c r="E46" s="69" t="n">
        <v>44161</v>
      </c>
      <c r="M46" s="1" t="n">
        <v>1635400000</v>
      </c>
      <c r="N46" s="1" t="n">
        <v>306555402.92</v>
      </c>
      <c r="T46" s="1" t="n">
        <v>16354</v>
      </c>
      <c r="AP46" s="1" t="s">
        <v>448</v>
      </c>
      <c r="AQ46" s="1" t="s">
        <v>451</v>
      </c>
      <c r="AR46" s="1" t="s">
        <v>452</v>
      </c>
      <c r="AX46" s="1" t="n">
        <f aca="false">IF(N46="","",N46-O46-P46)</f>
        <v>306555402.92</v>
      </c>
      <c r="AY46" s="1" t="str">
        <f aca="false">IF(Q46="","",P46/M46-Q46)</f>
        <v/>
      </c>
      <c r="AZ46" s="1" t="str">
        <f aca="false">IF(U46="","",T46*U46-O46)</f>
        <v/>
      </c>
      <c r="BA46" s="1" t="str">
        <f aca="false">IF(L46="","",L46-(J46+K46/10000))</f>
        <v/>
      </c>
      <c r="BB46" s="1" t="str">
        <f aca="false">IF(OR(R46="",R46=0,L46="",H46=""),"",N46*L46*H46/360/R46-1)</f>
        <v/>
      </c>
      <c r="BC46" s="1" t="str">
        <f aca="false">IF(Z46="","",1-(1-Z46/(X46-Y46))^4)</f>
        <v/>
      </c>
      <c r="BD46" s="1" t="str">
        <f aca="false">IF(Z46="","",1-(1-(Z46+AA46)/(X46-Y46))^4)</f>
        <v/>
      </c>
      <c r="BE46" s="0" t="str">
        <f aca="false">IF(Y46="","",O46/(Y46+Z46+AA46))</f>
        <v/>
      </c>
      <c r="BF46" s="71"/>
      <c r="BG46" s="0" t="str">
        <f aca="false">IF(BF46="","",Q46-BF46)</f>
        <v/>
      </c>
      <c r="BH46" s="71"/>
      <c r="BI46" s="0" t="str">
        <f aca="false">IF(BH46="","",O46-BH46)</f>
        <v/>
      </c>
      <c r="BJ46" s="0" t="str">
        <f aca="false">IF(AS46="","",AS46-O46-AT46)</f>
        <v/>
      </c>
    </row>
    <row r="47" customFormat="false" ht="15" hidden="false" customHeight="true" outlineLevel="0" collapsed="false">
      <c r="A47" s="1" t="s">
        <v>206</v>
      </c>
      <c r="B47" s="1" t="s">
        <v>453</v>
      </c>
      <c r="C47" s="1" t="s">
        <v>360</v>
      </c>
      <c r="D47" s="1" t="s">
        <v>454</v>
      </c>
      <c r="E47" s="69" t="n">
        <v>39251</v>
      </c>
      <c r="K47" s="1" t="n">
        <v>14</v>
      </c>
      <c r="M47" s="1" t="n">
        <v>1340600000</v>
      </c>
      <c r="N47" s="1" t="n">
        <v>1114843630.3</v>
      </c>
      <c r="O47" s="1" t="n">
        <v>61282713.74</v>
      </c>
      <c r="P47" s="1" t="n">
        <v>1053560916.56</v>
      </c>
      <c r="Q47" s="1" t="n">
        <v>0.7858876</v>
      </c>
      <c r="T47" s="1" t="n">
        <v>13406</v>
      </c>
      <c r="AP47" s="1" t="s">
        <v>455</v>
      </c>
      <c r="AQ47" s="1" t="s">
        <v>456</v>
      </c>
      <c r="AR47" s="1" t="s">
        <v>457</v>
      </c>
      <c r="AX47" s="1" t="n">
        <f aca="false">IF(N47="","",N47-O47-P47)</f>
        <v>0</v>
      </c>
      <c r="AY47" s="1" t="n">
        <f aca="false">IF(Q47="","",P47/M47-Q47)</f>
        <v>0</v>
      </c>
      <c r="AZ47" s="1" t="str">
        <f aca="false">IF(U47="","",T47*U47-O47)</f>
        <v/>
      </c>
      <c r="BA47" s="1" t="str">
        <f aca="false">IF(L47="","",L47-(J47+K47/10000))</f>
        <v/>
      </c>
      <c r="BB47" s="1" t="str">
        <f aca="false">IF(OR(R47="",R47=0,L47="",H47=""),"",N47*L47*H47/360/R47-1)</f>
        <v/>
      </c>
      <c r="BC47" s="1" t="str">
        <f aca="false">IF(Z47="","",1-(1-Z47/(X47-Y47))^4)</f>
        <v/>
      </c>
      <c r="BD47" s="1" t="str">
        <f aca="false">IF(Z47="","",1-(1-(Z47+AA47)/(X47-Y47))^4)</f>
        <v/>
      </c>
      <c r="BE47" s="0" t="str">
        <f aca="false">IF(Y47="","",O47/(Y47+Z47+AA47))</f>
        <v/>
      </c>
      <c r="BF47" s="71"/>
      <c r="BG47" s="0" t="str">
        <f aca="false">IF(BF47="","",Q47-BF47)</f>
        <v/>
      </c>
      <c r="BH47" s="71"/>
      <c r="BI47" s="0" t="str">
        <f aca="false">IF(BH47="","",O47-BH47)</f>
        <v/>
      </c>
      <c r="BJ47" s="0" t="str">
        <f aca="false">IF(AS47="","",AS47-O47-AT47)</f>
        <v/>
      </c>
    </row>
    <row r="48" customFormat="false" ht="15" hidden="false" customHeight="true" outlineLevel="0" collapsed="false">
      <c r="A48" s="1" t="s">
        <v>206</v>
      </c>
      <c r="B48" s="1" t="s">
        <v>453</v>
      </c>
      <c r="C48" s="1" t="s">
        <v>360</v>
      </c>
      <c r="D48" s="1" t="s">
        <v>458</v>
      </c>
      <c r="E48" s="69" t="n">
        <v>41078</v>
      </c>
      <c r="F48" s="69" t="n">
        <v>40988</v>
      </c>
      <c r="G48" s="69" t="n">
        <v>41078</v>
      </c>
      <c r="H48" s="1" t="n">
        <v>90</v>
      </c>
      <c r="J48" s="1" t="n">
        <v>0.00862</v>
      </c>
      <c r="K48" s="1" t="n">
        <v>14</v>
      </c>
      <c r="L48" s="1" t="n">
        <v>0.01002</v>
      </c>
      <c r="M48" s="1" t="n">
        <v>1340600000</v>
      </c>
      <c r="N48" s="1" t="n">
        <v>649794450.52</v>
      </c>
      <c r="O48" s="1" t="n">
        <v>8444305.34</v>
      </c>
      <c r="P48" s="1" t="n">
        <v>641350145.18</v>
      </c>
      <c r="Q48" s="1" t="n">
        <v>0.4784053</v>
      </c>
      <c r="R48" s="1" t="n">
        <v>1627756.52</v>
      </c>
      <c r="T48" s="1" t="n">
        <v>13406</v>
      </c>
      <c r="U48" s="1" t="n">
        <v>629.89</v>
      </c>
      <c r="V48" s="1" t="n">
        <v>48470.42</v>
      </c>
      <c r="W48" s="1" t="n">
        <v>47840.53</v>
      </c>
      <c r="X48" s="1" t="n">
        <v>785261406.89</v>
      </c>
      <c r="AB48" s="1" t="n">
        <v>0.0421</v>
      </c>
      <c r="AE48" s="1" t="n">
        <v>775060598.02</v>
      </c>
      <c r="AG48" s="1" t="n">
        <v>0.0299</v>
      </c>
      <c r="AH48" s="1" t="n">
        <v>89918329.62</v>
      </c>
      <c r="AJ48" s="1" t="s">
        <v>459</v>
      </c>
      <c r="AL48" s="1" t="n">
        <v>10200808.87</v>
      </c>
      <c r="AM48" s="1" t="n">
        <v>0.0312</v>
      </c>
      <c r="AN48" s="1" t="n">
        <v>0.00803</v>
      </c>
      <c r="AO48" s="1" t="n">
        <v>0.00663</v>
      </c>
      <c r="AP48" s="1" t="s">
        <v>460</v>
      </c>
      <c r="AQ48" s="1" t="s">
        <v>461</v>
      </c>
      <c r="AR48" s="1" t="s">
        <v>462</v>
      </c>
      <c r="AX48" s="1" t="n">
        <f aca="false">IF(N48="","",N48-O48-P48)</f>
        <v>0</v>
      </c>
      <c r="AY48" s="1" t="n">
        <f aca="false">IF(Q48="","",P48/M48-Q48)</f>
        <v>0</v>
      </c>
      <c r="AZ48" s="1" t="n">
        <f aca="false">IF(U48="","",T48*U48-O48)</f>
        <v>0</v>
      </c>
      <c r="BA48" s="1" t="n">
        <f aca="false">IF(L48="","",L48-(J48+K48/10000))</f>
        <v>0</v>
      </c>
      <c r="BB48" s="1" t="n">
        <f aca="false">IF(OR(R48="",R48=0,L48="",H48=""),"",N48*L48*H48/360/R48-1)</f>
        <v>-1.31601054192965E-005</v>
      </c>
      <c r="BC48" s="1" t="str">
        <f aca="false">IF(Z48="","",1-(1-Z48/(X48-Y48))^4)</f>
        <v/>
      </c>
      <c r="BD48" s="1" t="str">
        <f aca="false">IF(Z48="","",1-(1-(Z48+AA48)/(X48-Y48))^4)</f>
        <v/>
      </c>
      <c r="BE48" s="0" t="str">
        <f aca="false">IF(Y48="","",O48/(Y48+Z48+AA48))</f>
        <v/>
      </c>
      <c r="BF48" s="71"/>
      <c r="BG48" s="0" t="str">
        <f aca="false">IF(BF48="","",Q48-BF48)</f>
        <v/>
      </c>
      <c r="BH48" s="71"/>
      <c r="BI48" s="0" t="str">
        <f aca="false">IF(BH48="","",O48-BH48)</f>
        <v/>
      </c>
      <c r="BJ48" s="0" t="str">
        <f aca="false">IF(AS48="","",AS48-O48-AT48)</f>
        <v/>
      </c>
    </row>
    <row r="49" customFormat="false" ht="15" hidden="false" customHeight="true" outlineLevel="0" collapsed="false">
      <c r="A49" s="1" t="s">
        <v>206</v>
      </c>
      <c r="B49" s="1" t="s">
        <v>453</v>
      </c>
      <c r="C49" s="1" t="s">
        <v>360</v>
      </c>
      <c r="D49" s="1" t="s">
        <v>463</v>
      </c>
      <c r="E49" s="69" t="n">
        <v>46191</v>
      </c>
      <c r="F49" s="69" t="n">
        <v>46099</v>
      </c>
      <c r="G49" s="69" t="n">
        <v>46191</v>
      </c>
      <c r="H49" s="1" t="n">
        <v>92</v>
      </c>
      <c r="J49" s="1" t="n">
        <v>0.021571</v>
      </c>
      <c r="K49" s="1" t="n">
        <v>14</v>
      </c>
      <c r="L49" s="1" t="n">
        <v>0.022971</v>
      </c>
      <c r="M49" s="1" t="n">
        <v>1340600000</v>
      </c>
      <c r="N49" s="1" t="n">
        <v>88627468.18</v>
      </c>
      <c r="O49" s="1" t="n">
        <v>6827005.5</v>
      </c>
      <c r="P49" s="1" t="n">
        <v>81800462.68</v>
      </c>
      <c r="Q49" s="1" t="n">
        <v>0.0610178</v>
      </c>
      <c r="R49" s="1" t="n">
        <v>520286.86</v>
      </c>
      <c r="T49" s="1" t="n">
        <v>13406</v>
      </c>
      <c r="U49" s="1" t="n">
        <v>509.25</v>
      </c>
      <c r="V49" s="1" t="n">
        <v>6611.03</v>
      </c>
      <c r="W49" s="1" t="n">
        <v>6101.78</v>
      </c>
      <c r="X49" s="1" t="n">
        <v>187981997.18</v>
      </c>
      <c r="AB49" s="1" t="n">
        <v>0.088</v>
      </c>
      <c r="AE49" s="1" t="n">
        <v>180964103</v>
      </c>
      <c r="AG49" s="1" t="n">
        <v>0.0326</v>
      </c>
      <c r="AH49" s="1" t="n">
        <v>16277027.6</v>
      </c>
      <c r="AJ49" s="1" t="s">
        <v>459</v>
      </c>
      <c r="AL49" s="1" t="n">
        <v>7017894.18</v>
      </c>
      <c r="AM49" s="1" t="n">
        <v>0.0745</v>
      </c>
      <c r="AN49" s="1" t="n">
        <v>0.02548</v>
      </c>
      <c r="AO49" s="1" t="n">
        <v>0.02408</v>
      </c>
      <c r="AP49" s="1" t="s">
        <v>464</v>
      </c>
      <c r="AQ49" s="1" t="s">
        <v>461</v>
      </c>
      <c r="AR49" s="1" t="s">
        <v>462</v>
      </c>
      <c r="AX49" s="1" t="n">
        <f aca="false">IF(N49="","",N49-O49-P49)</f>
        <v>0</v>
      </c>
      <c r="AY49" s="1" t="n">
        <f aca="false">IF(Q49="","",P49/M49-Q49)</f>
        <v>0</v>
      </c>
      <c r="AZ49" s="1" t="n">
        <f aca="false">IF(U49="","",T49*U49-O49)</f>
        <v>0</v>
      </c>
      <c r="BA49" s="1" t="n">
        <f aca="false">IF(L49="","",L49-(J49+K49/10000))</f>
        <v>0</v>
      </c>
      <c r="BB49" s="1" t="n">
        <f aca="false">IF(OR(R49="",R49=0,L49="",H49=""),"",N49*L49*H49/360/R49-1)</f>
        <v>-2.13825216868191E-005</v>
      </c>
      <c r="BC49" s="1" t="str">
        <f aca="false">IF(Z49="","",1-(1-Z49/(X49-Y49))^4)</f>
        <v/>
      </c>
      <c r="BD49" s="1" t="str">
        <f aca="false">IF(Z49="","",1-(1-(Z49+AA49)/(X49-Y49))^4)</f>
        <v/>
      </c>
      <c r="BE49" s="0" t="str">
        <f aca="false">IF(Y49="","",O49/(Y49+Z49+AA49))</f>
        <v/>
      </c>
      <c r="BF49" s="71"/>
      <c r="BG49" s="0" t="str">
        <f aca="false">IF(BF49="","",Q49-BF49)</f>
        <v/>
      </c>
      <c r="BH49" s="71"/>
      <c r="BI49" s="0" t="str">
        <f aca="false">IF(BH49="","",O49-BH49)</f>
        <v/>
      </c>
      <c r="BJ49" s="0" t="str">
        <f aca="false">IF(AS49="","",AS49-O49-AT49)</f>
        <v/>
      </c>
    </row>
    <row r="50" customFormat="false" ht="15" hidden="false" customHeight="true" outlineLevel="0" collapsed="false">
      <c r="A50" s="1" t="s">
        <v>221</v>
      </c>
      <c r="B50" s="1" t="s">
        <v>223</v>
      </c>
      <c r="C50" s="1" t="s">
        <v>465</v>
      </c>
      <c r="D50" s="1" t="s">
        <v>466</v>
      </c>
      <c r="E50" s="69" t="n">
        <v>42027</v>
      </c>
      <c r="I50" s="1" t="s">
        <v>362</v>
      </c>
      <c r="K50" s="1" t="n">
        <v>13</v>
      </c>
      <c r="M50" s="1" t="n">
        <v>1083200000</v>
      </c>
      <c r="N50" s="1" t="n">
        <v>385608000</v>
      </c>
      <c r="O50" s="1" t="n">
        <v>15196000</v>
      </c>
      <c r="P50" s="1" t="n">
        <v>370412000</v>
      </c>
      <c r="Q50" s="1" t="n">
        <v>0.34196086</v>
      </c>
      <c r="T50" s="1" t="n">
        <v>10832</v>
      </c>
      <c r="AP50" s="1" t="s">
        <v>467</v>
      </c>
      <c r="AQ50" s="1" t="s">
        <v>468</v>
      </c>
      <c r="AR50" s="1" t="s">
        <v>469</v>
      </c>
      <c r="AX50" s="1" t="n">
        <f aca="false">IF(N50="","",N50-O50-P50)</f>
        <v>0</v>
      </c>
      <c r="AY50" s="1" t="n">
        <f aca="false">IF(Q50="","",P50/M50-Q50)</f>
        <v>-3.27917282216816E-009</v>
      </c>
      <c r="AZ50" s="1" t="str">
        <f aca="false">IF(U50="","",T50*U50-O50)</f>
        <v/>
      </c>
      <c r="BA50" s="1" t="str">
        <f aca="false">IF(L50="","",L50-(J50+K50/10000))</f>
        <v/>
      </c>
      <c r="BB50" s="1" t="str">
        <f aca="false">IF(OR(R50="",R50=0,L50="",H50=""),"",N50*L50*H50/360/R50-1)</f>
        <v/>
      </c>
      <c r="BC50" s="1" t="str">
        <f aca="false">IF(Z50="","",1-(1-Z50/(X50-Y50))^4)</f>
        <v/>
      </c>
      <c r="BD50" s="1" t="str">
        <f aca="false">IF(Z50="","",1-(1-(Z50+AA50)/(X50-Y50))^4)</f>
        <v/>
      </c>
      <c r="BE50" s="0" t="str">
        <f aca="false">IF(Y50="","",O50/(Y50+Z50+AA50))</f>
        <v/>
      </c>
      <c r="BF50" s="71"/>
      <c r="BG50" s="0" t="str">
        <f aca="false">IF(BF50="","",Q50-BF50)</f>
        <v/>
      </c>
      <c r="BH50" s="71"/>
      <c r="BI50" s="0" t="str">
        <f aca="false">IF(BH50="","",O50-BH50)</f>
        <v/>
      </c>
      <c r="BJ50" s="0" t="str">
        <f aca="false">IF(AS50="","",AS50-O50-AT50)</f>
        <v/>
      </c>
    </row>
    <row r="51" customFormat="false" ht="15" hidden="false" customHeight="true" outlineLevel="0" collapsed="false">
      <c r="A51" s="1" t="s">
        <v>221</v>
      </c>
      <c r="B51" s="1" t="s">
        <v>223</v>
      </c>
      <c r="C51" s="1" t="s">
        <v>465</v>
      </c>
      <c r="D51" s="1" t="s">
        <v>470</v>
      </c>
      <c r="E51" s="69" t="n">
        <v>42117</v>
      </c>
      <c r="I51" s="1" t="s">
        <v>362</v>
      </c>
      <c r="K51" s="1" t="n">
        <v>13</v>
      </c>
      <c r="M51" s="1" t="n">
        <v>1083200000</v>
      </c>
      <c r="N51" s="1" t="n">
        <v>370412000</v>
      </c>
      <c r="O51" s="1" t="n">
        <v>9195000</v>
      </c>
      <c r="P51" s="1" t="n">
        <v>361217000</v>
      </c>
      <c r="Q51" s="1" t="n">
        <v>0.33347212</v>
      </c>
      <c r="T51" s="1" t="n">
        <v>10832</v>
      </c>
      <c r="AP51" s="1" t="s">
        <v>467</v>
      </c>
      <c r="AQ51" s="1" t="s">
        <v>468</v>
      </c>
      <c r="AR51" s="1" t="s">
        <v>469</v>
      </c>
      <c r="AX51" s="1" t="n">
        <f aca="false">IF(N51="","",N51-O51-P51)</f>
        <v>0</v>
      </c>
      <c r="AY51" s="1" t="n">
        <f aca="false">IF(Q51="","",P51/M51-Q51)</f>
        <v>-3.54505147459605E-010</v>
      </c>
      <c r="AZ51" s="1" t="str">
        <f aca="false">IF(U51="","",T51*U51-O51)</f>
        <v/>
      </c>
      <c r="BA51" s="1" t="str">
        <f aca="false">IF(L51="","",L51-(J51+K51/10000))</f>
        <v/>
      </c>
      <c r="BB51" s="1" t="str">
        <f aca="false">IF(OR(R51="",R51=0,L51="",H51=""),"",N51*L51*H51/360/R51-1)</f>
        <v/>
      </c>
      <c r="BC51" s="1" t="str">
        <f aca="false">IF(Z51="","",1-(1-Z51/(X51-Y51))^4)</f>
        <v/>
      </c>
      <c r="BD51" s="1" t="str">
        <f aca="false">IF(Z51="","",1-(1-(Z51+AA51)/(X51-Y51))^4)</f>
        <v/>
      </c>
      <c r="BE51" s="0" t="str">
        <f aca="false">IF(Y51="","",O51/(Y51+Z51+AA51))</f>
        <v/>
      </c>
      <c r="BF51" s="71"/>
      <c r="BG51" s="0" t="str">
        <f aca="false">IF(BF51="","",Q51-BF51)</f>
        <v/>
      </c>
      <c r="BH51" s="71"/>
      <c r="BI51" s="0" t="str">
        <f aca="false">IF(BH51="","",O51-BH51)</f>
        <v/>
      </c>
      <c r="BJ51" s="0" t="str">
        <f aca="false">IF(AS51="","",AS51-O51-AT51)</f>
        <v/>
      </c>
    </row>
    <row r="52" customFormat="false" ht="15" hidden="false" customHeight="true" outlineLevel="0" collapsed="false">
      <c r="A52" s="1" t="s">
        <v>221</v>
      </c>
      <c r="B52" s="1" t="s">
        <v>223</v>
      </c>
      <c r="C52" s="1" t="s">
        <v>465</v>
      </c>
      <c r="D52" s="1" t="s">
        <v>421</v>
      </c>
      <c r="E52" s="69" t="n">
        <v>42208</v>
      </c>
      <c r="I52" s="1" t="s">
        <v>362</v>
      </c>
      <c r="K52" s="1" t="n">
        <v>13</v>
      </c>
      <c r="M52" s="1" t="n">
        <v>1083200000</v>
      </c>
      <c r="N52" s="1" t="n">
        <v>361217000</v>
      </c>
      <c r="O52" s="1" t="n">
        <v>14481000</v>
      </c>
      <c r="P52" s="1" t="n">
        <v>346736000</v>
      </c>
      <c r="Q52" s="1" t="n">
        <v>0.3201034</v>
      </c>
      <c r="T52" s="1" t="n">
        <v>10832</v>
      </c>
      <c r="AP52" s="1" t="s">
        <v>467</v>
      </c>
      <c r="AQ52" s="1" t="s">
        <v>468</v>
      </c>
      <c r="AR52" s="1" t="s">
        <v>469</v>
      </c>
      <c r="AX52" s="1" t="n">
        <f aca="false">IF(N52="","",N52-O52-P52)</f>
        <v>0</v>
      </c>
      <c r="AY52" s="1" t="n">
        <f aca="false">IF(Q52="","",P52/M52-Q52)</f>
        <v>-2.65878874472492E-009</v>
      </c>
      <c r="AZ52" s="1" t="str">
        <f aca="false">IF(U52="","",T52*U52-O52)</f>
        <v/>
      </c>
      <c r="BA52" s="1" t="str">
        <f aca="false">IF(L52="","",L52-(J52+K52/10000))</f>
        <v/>
      </c>
      <c r="BB52" s="1" t="str">
        <f aca="false">IF(OR(R52="",R52=0,L52="",H52=""),"",N52*L52*H52/360/R52-1)</f>
        <v/>
      </c>
      <c r="BC52" s="1" t="str">
        <f aca="false">IF(Z52="","",1-(1-Z52/(X52-Y52))^4)</f>
        <v/>
      </c>
      <c r="BD52" s="1" t="str">
        <f aca="false">IF(Z52="","",1-(1-(Z52+AA52)/(X52-Y52))^4)</f>
        <v/>
      </c>
      <c r="BE52" s="0" t="str">
        <f aca="false">IF(Y52="","",O52/(Y52+Z52+AA52))</f>
        <v/>
      </c>
      <c r="BF52" s="71"/>
      <c r="BG52" s="0" t="str">
        <f aca="false">IF(BF52="","",Q52-BF52)</f>
        <v/>
      </c>
      <c r="BH52" s="71"/>
      <c r="BI52" s="0" t="str">
        <f aca="false">IF(BH52="","",O52-BH52)</f>
        <v/>
      </c>
      <c r="BJ52" s="0" t="str">
        <f aca="false">IF(AS52="","",AS52-O52-AT52)</f>
        <v/>
      </c>
    </row>
    <row r="53" customFormat="false" ht="15" hidden="false" customHeight="true" outlineLevel="0" collapsed="false">
      <c r="A53" s="1" t="s">
        <v>221</v>
      </c>
      <c r="B53" s="1" t="s">
        <v>223</v>
      </c>
      <c r="C53" s="1" t="s">
        <v>465</v>
      </c>
      <c r="D53" s="1" t="s">
        <v>471</v>
      </c>
      <c r="E53" s="69" t="n">
        <v>42299</v>
      </c>
      <c r="I53" s="1" t="s">
        <v>362</v>
      </c>
      <c r="K53" s="1" t="n">
        <v>13</v>
      </c>
      <c r="M53" s="1" t="n">
        <v>1083200000</v>
      </c>
      <c r="N53" s="1" t="n">
        <v>346736000</v>
      </c>
      <c r="O53" s="1" t="n">
        <v>8079000</v>
      </c>
      <c r="P53" s="1" t="n">
        <v>338657000</v>
      </c>
      <c r="Q53" s="1" t="n">
        <v>0.31264494</v>
      </c>
      <c r="T53" s="1" t="n">
        <v>10832</v>
      </c>
      <c r="AP53" s="1" t="s">
        <v>467</v>
      </c>
      <c r="AQ53" s="1" t="s">
        <v>468</v>
      </c>
      <c r="AR53" s="1" t="s">
        <v>469</v>
      </c>
      <c r="AX53" s="1" t="n">
        <f aca="false">IF(N53="","",N53-O53-P53)</f>
        <v>0</v>
      </c>
      <c r="AY53" s="1" t="n">
        <f aca="false">IF(Q53="","",P53/M53-Q53)</f>
        <v>9.15805042911444E-010</v>
      </c>
      <c r="AZ53" s="1" t="str">
        <f aca="false">IF(U53="","",T53*U53-O53)</f>
        <v/>
      </c>
      <c r="BA53" s="1" t="str">
        <f aca="false">IF(L53="","",L53-(J53+K53/10000))</f>
        <v/>
      </c>
      <c r="BB53" s="1" t="str">
        <f aca="false">IF(OR(R53="",R53=0,L53="",H53=""),"",N53*L53*H53/360/R53-1)</f>
        <v/>
      </c>
      <c r="BC53" s="1" t="str">
        <f aca="false">IF(Z53="","",1-(1-Z53/(X53-Y53))^4)</f>
        <v/>
      </c>
      <c r="BD53" s="1" t="str">
        <f aca="false">IF(Z53="","",1-(1-(Z53+AA53)/(X53-Y53))^4)</f>
        <v/>
      </c>
      <c r="BE53" s="0" t="str">
        <f aca="false">IF(Y53="","",O53/(Y53+Z53+AA53))</f>
        <v/>
      </c>
      <c r="BF53" s="71"/>
      <c r="BG53" s="0" t="str">
        <f aca="false">IF(BF53="","",Q53-BF53)</f>
        <v/>
      </c>
      <c r="BH53" s="71"/>
      <c r="BI53" s="0" t="str">
        <f aca="false">IF(BH53="","",O53-BH53)</f>
        <v/>
      </c>
      <c r="BJ53" s="0" t="str">
        <f aca="false">IF(AS53="","",AS53-O53-AT53)</f>
        <v/>
      </c>
    </row>
    <row r="54" customFormat="false" ht="15" hidden="false" customHeight="true" outlineLevel="0" collapsed="false">
      <c r="A54" s="1" t="s">
        <v>221</v>
      </c>
      <c r="B54" s="1" t="s">
        <v>223</v>
      </c>
      <c r="C54" s="1" t="s">
        <v>465</v>
      </c>
      <c r="D54" s="1" t="s">
        <v>472</v>
      </c>
      <c r="E54" s="69" t="n">
        <v>42390</v>
      </c>
      <c r="I54" s="1" t="s">
        <v>362</v>
      </c>
      <c r="K54" s="1" t="n">
        <v>13</v>
      </c>
      <c r="M54" s="1" t="n">
        <v>1083200000</v>
      </c>
      <c r="N54" s="1" t="n">
        <v>338657000</v>
      </c>
      <c r="O54" s="1" t="n">
        <v>11392000</v>
      </c>
      <c r="P54" s="1" t="n">
        <v>327265000</v>
      </c>
      <c r="Q54" s="1" t="n">
        <v>0.30212795</v>
      </c>
      <c r="T54" s="1" t="n">
        <v>10832</v>
      </c>
      <c r="AP54" s="1" t="s">
        <v>467</v>
      </c>
      <c r="AQ54" s="1" t="s">
        <v>468</v>
      </c>
      <c r="AR54" s="1" t="s">
        <v>469</v>
      </c>
      <c r="AX54" s="1" t="n">
        <f aca="false">IF(N54="","",N54-O54-P54)</f>
        <v>0</v>
      </c>
      <c r="AY54" s="1" t="n">
        <f aca="false">IF(Q54="","",P54/M54-Q54)</f>
        <v>4.20974893833304E-009</v>
      </c>
      <c r="AZ54" s="1" t="str">
        <f aca="false">IF(U54="","",T54*U54-O54)</f>
        <v/>
      </c>
      <c r="BA54" s="1" t="str">
        <f aca="false">IF(L54="","",L54-(J54+K54/10000))</f>
        <v/>
      </c>
      <c r="BB54" s="1" t="str">
        <f aca="false">IF(OR(R54="",R54=0,L54="",H54=""),"",N54*L54*H54/360/R54-1)</f>
        <v/>
      </c>
      <c r="BC54" s="1" t="str">
        <f aca="false">IF(Z54="","",1-(1-Z54/(X54-Y54))^4)</f>
        <v/>
      </c>
      <c r="BD54" s="1" t="str">
        <f aca="false">IF(Z54="","",1-(1-(Z54+AA54)/(X54-Y54))^4)</f>
        <v/>
      </c>
      <c r="BE54" s="0" t="str">
        <f aca="false">IF(Y54="","",O54/(Y54+Z54+AA54))</f>
        <v/>
      </c>
      <c r="BF54" s="71"/>
      <c r="BG54" s="0" t="str">
        <f aca="false">IF(BF54="","",Q54-BF54)</f>
        <v/>
      </c>
      <c r="BH54" s="71"/>
      <c r="BI54" s="0" t="str">
        <f aca="false">IF(BH54="","",O54-BH54)</f>
        <v/>
      </c>
      <c r="BJ54" s="0" t="str">
        <f aca="false">IF(AS54="","",AS54-O54-AT54)</f>
        <v/>
      </c>
    </row>
    <row r="55" customFormat="false" ht="15" hidden="false" customHeight="true" outlineLevel="0" collapsed="false">
      <c r="A55" s="1" t="s">
        <v>221</v>
      </c>
      <c r="B55" s="1" t="s">
        <v>223</v>
      </c>
      <c r="C55" s="1" t="s">
        <v>465</v>
      </c>
      <c r="D55" s="1" t="s">
        <v>473</v>
      </c>
      <c r="E55" s="69" t="n">
        <v>42482</v>
      </c>
      <c r="I55" s="1" t="s">
        <v>362</v>
      </c>
      <c r="K55" s="1" t="n">
        <v>13</v>
      </c>
      <c r="M55" s="1" t="n">
        <v>1083200000</v>
      </c>
      <c r="N55" s="1" t="n">
        <v>327265000</v>
      </c>
      <c r="O55" s="1" t="n">
        <v>9573000</v>
      </c>
      <c r="P55" s="1" t="n">
        <v>317692000</v>
      </c>
      <c r="Q55" s="1" t="n">
        <v>0.29329025</v>
      </c>
      <c r="T55" s="1" t="n">
        <v>10832</v>
      </c>
      <c r="AP55" s="1" t="s">
        <v>467</v>
      </c>
      <c r="AQ55" s="1" t="s">
        <v>468</v>
      </c>
      <c r="AR55" s="1" t="s">
        <v>469</v>
      </c>
      <c r="AX55" s="1" t="n">
        <f aca="false">IF(N55="","",N55-O55-P55)</f>
        <v>0</v>
      </c>
      <c r="AY55" s="1" t="n">
        <f aca="false">IF(Q55="","",P55/M55-Q55)</f>
        <v>1.1078286621391E-009</v>
      </c>
      <c r="AZ55" s="1" t="str">
        <f aca="false">IF(U55="","",T55*U55-O55)</f>
        <v/>
      </c>
      <c r="BA55" s="1" t="str">
        <f aca="false">IF(L55="","",L55-(J55+K55/10000))</f>
        <v/>
      </c>
      <c r="BB55" s="1" t="str">
        <f aca="false">IF(OR(R55="",R55=0,L55="",H55=""),"",N55*L55*H55/360/R55-1)</f>
        <v/>
      </c>
      <c r="BC55" s="1" t="str">
        <f aca="false">IF(Z55="","",1-(1-Z55/(X55-Y55))^4)</f>
        <v/>
      </c>
      <c r="BD55" s="1" t="str">
        <f aca="false">IF(Z55="","",1-(1-(Z55+AA55)/(X55-Y55))^4)</f>
        <v/>
      </c>
      <c r="BE55" s="0" t="str">
        <f aca="false">IF(Y55="","",O55/(Y55+Z55+AA55))</f>
        <v/>
      </c>
      <c r="BF55" s="71"/>
      <c r="BG55" s="0" t="str">
        <f aca="false">IF(BF55="","",Q55-BF55)</f>
        <v/>
      </c>
      <c r="BH55" s="71"/>
      <c r="BI55" s="0" t="str">
        <f aca="false">IF(BH55="","",O55-BH55)</f>
        <v/>
      </c>
      <c r="BJ55" s="0" t="str">
        <f aca="false">IF(AS55="","",AS55-O55-AT55)</f>
        <v/>
      </c>
    </row>
    <row r="56" customFormat="false" ht="15" hidden="false" customHeight="true" outlineLevel="0" collapsed="false">
      <c r="A56" s="1" t="s">
        <v>221</v>
      </c>
      <c r="B56" s="1" t="s">
        <v>223</v>
      </c>
      <c r="C56" s="1" t="s">
        <v>465</v>
      </c>
      <c r="D56" s="1" t="s">
        <v>474</v>
      </c>
      <c r="E56" s="69" t="n">
        <v>42573</v>
      </c>
      <c r="I56" s="1" t="s">
        <v>362</v>
      </c>
      <c r="K56" s="1" t="n">
        <v>13</v>
      </c>
      <c r="M56" s="1" t="n">
        <v>1083200000</v>
      </c>
      <c r="N56" s="1" t="n">
        <v>317692000</v>
      </c>
      <c r="O56" s="1" t="n">
        <v>8897000</v>
      </c>
      <c r="P56" s="1" t="n">
        <v>308795000</v>
      </c>
      <c r="Q56" s="1" t="n">
        <v>0.28507662</v>
      </c>
      <c r="T56" s="1" t="n">
        <v>10832</v>
      </c>
      <c r="AP56" s="1" t="s">
        <v>467</v>
      </c>
      <c r="AQ56" s="1" t="s">
        <v>468</v>
      </c>
      <c r="AR56" s="1" t="s">
        <v>469</v>
      </c>
      <c r="AX56" s="1" t="n">
        <f aca="false">IF(N56="","",N56-O56-P56)</f>
        <v>0</v>
      </c>
      <c r="AY56" s="1" t="n">
        <f aca="false">IF(Q56="","",P56/M56-Q56)</f>
        <v>4.8153618870117E-009</v>
      </c>
      <c r="AZ56" s="1" t="str">
        <f aca="false">IF(U56="","",T56*U56-O56)</f>
        <v/>
      </c>
      <c r="BA56" s="1" t="str">
        <f aca="false">IF(L56="","",L56-(J56+K56/10000))</f>
        <v/>
      </c>
      <c r="BB56" s="1" t="str">
        <f aca="false">IF(OR(R56="",R56=0,L56="",H56=""),"",N56*L56*H56/360/R56-1)</f>
        <v/>
      </c>
      <c r="BC56" s="1" t="str">
        <f aca="false">IF(Z56="","",1-(1-Z56/(X56-Y56))^4)</f>
        <v/>
      </c>
      <c r="BD56" s="1" t="str">
        <f aca="false">IF(Z56="","",1-(1-(Z56+AA56)/(X56-Y56))^4)</f>
        <v/>
      </c>
      <c r="BE56" s="0" t="str">
        <f aca="false">IF(Y56="","",O56/(Y56+Z56+AA56))</f>
        <v/>
      </c>
      <c r="BF56" s="71"/>
      <c r="BG56" s="0" t="str">
        <f aca="false">IF(BF56="","",Q56-BF56)</f>
        <v/>
      </c>
      <c r="BH56" s="71"/>
      <c r="BI56" s="0" t="str">
        <f aca="false">IF(BH56="","",O56-BH56)</f>
        <v/>
      </c>
      <c r="BJ56" s="0" t="str">
        <f aca="false">IF(AS56="","",AS56-O56-AT56)</f>
        <v/>
      </c>
    </row>
    <row r="57" customFormat="false" ht="15" hidden="false" customHeight="true" outlineLevel="0" collapsed="false">
      <c r="A57" s="1" t="s">
        <v>221</v>
      </c>
      <c r="B57" s="1" t="s">
        <v>223</v>
      </c>
      <c r="C57" s="1" t="s">
        <v>465</v>
      </c>
      <c r="D57" s="1" t="s">
        <v>475</v>
      </c>
      <c r="E57" s="69" t="n">
        <v>42665</v>
      </c>
      <c r="I57" s="1" t="s">
        <v>362</v>
      </c>
      <c r="K57" s="1" t="n">
        <v>13</v>
      </c>
      <c r="M57" s="1" t="n">
        <v>1083200000</v>
      </c>
      <c r="N57" s="1" t="n">
        <v>308795000</v>
      </c>
      <c r="O57" s="1" t="n">
        <v>6320000</v>
      </c>
      <c r="P57" s="1" t="n">
        <v>302475000</v>
      </c>
      <c r="Q57" s="1" t="n">
        <v>0.27924206</v>
      </c>
      <c r="T57" s="1" t="n">
        <v>10832</v>
      </c>
      <c r="AP57" s="1" t="s">
        <v>467</v>
      </c>
      <c r="AQ57" s="1" t="s">
        <v>468</v>
      </c>
      <c r="AR57" s="1" t="s">
        <v>469</v>
      </c>
      <c r="AX57" s="1" t="n">
        <f aca="false">IF(N57="","",N57-O57-P57)</f>
        <v>0</v>
      </c>
      <c r="AY57" s="1" t="n">
        <f aca="false">IF(Q57="","",P57/M57-Q57)</f>
        <v>5.61299839940688E-010</v>
      </c>
      <c r="AZ57" s="1" t="str">
        <f aca="false">IF(U57="","",T57*U57-O57)</f>
        <v/>
      </c>
      <c r="BA57" s="1" t="str">
        <f aca="false">IF(L57="","",L57-(J57+K57/10000))</f>
        <v/>
      </c>
      <c r="BB57" s="1" t="str">
        <f aca="false">IF(OR(R57="",R57=0,L57="",H57=""),"",N57*L57*H57/360/R57-1)</f>
        <v/>
      </c>
      <c r="BC57" s="1" t="str">
        <f aca="false">IF(Z57="","",1-(1-Z57/(X57-Y57))^4)</f>
        <v/>
      </c>
      <c r="BD57" s="1" t="str">
        <f aca="false">IF(Z57="","",1-(1-(Z57+AA57)/(X57-Y57))^4)</f>
        <v/>
      </c>
      <c r="BE57" s="0" t="str">
        <f aca="false">IF(Y57="","",O57/(Y57+Z57+AA57))</f>
        <v/>
      </c>
      <c r="BF57" s="71"/>
      <c r="BG57" s="0" t="str">
        <f aca="false">IF(BF57="","",Q57-BF57)</f>
        <v/>
      </c>
      <c r="BH57" s="71"/>
      <c r="BI57" s="0" t="str">
        <f aca="false">IF(BH57="","",O57-BH57)</f>
        <v/>
      </c>
      <c r="BJ57" s="0" t="str">
        <f aca="false">IF(AS57="","",AS57-O57-AT57)</f>
        <v/>
      </c>
    </row>
    <row r="58" customFormat="false" ht="15" hidden="false" customHeight="true" outlineLevel="0" collapsed="false">
      <c r="A58" s="1" t="s">
        <v>221</v>
      </c>
      <c r="B58" s="1" t="s">
        <v>223</v>
      </c>
      <c r="C58" s="1" t="s">
        <v>465</v>
      </c>
      <c r="D58" s="1" t="s">
        <v>476</v>
      </c>
      <c r="E58" s="69" t="n">
        <v>43115</v>
      </c>
      <c r="I58" s="1" t="s">
        <v>362</v>
      </c>
      <c r="K58" s="1" t="n">
        <v>13</v>
      </c>
      <c r="M58" s="1" t="n">
        <v>1083200000</v>
      </c>
      <c r="N58" s="1" t="n">
        <v>268325000</v>
      </c>
      <c r="O58" s="1" t="n">
        <v>18687000</v>
      </c>
      <c r="P58" s="1" t="n">
        <v>249638000</v>
      </c>
      <c r="Q58" s="1" t="n">
        <v>0.23046344</v>
      </c>
      <c r="T58" s="1" t="n">
        <v>10832</v>
      </c>
      <c r="AP58" s="1" t="s">
        <v>477</v>
      </c>
      <c r="AQ58" s="1" t="s">
        <v>478</v>
      </c>
      <c r="AR58" s="1" t="s">
        <v>479</v>
      </c>
      <c r="AX58" s="1" t="n">
        <f aca="false">IF(N58="","",N58-O58-P58)</f>
        <v>0</v>
      </c>
      <c r="AY58" s="1" t="n">
        <f aca="false">IF(Q58="","",P58/M58-Q58)</f>
        <v>1.65435745658193E-009</v>
      </c>
      <c r="AZ58" s="1" t="str">
        <f aca="false">IF(U58="","",T58*U58-O58)</f>
        <v/>
      </c>
      <c r="BA58" s="1" t="str">
        <f aca="false">IF(L58="","",L58-(J58+K58/10000))</f>
        <v/>
      </c>
      <c r="BB58" s="1" t="str">
        <f aca="false">IF(OR(R58="",R58=0,L58="",H58=""),"",N58*L58*H58/360/R58-1)</f>
        <v/>
      </c>
      <c r="BC58" s="1" t="str">
        <f aca="false">IF(Z58="","",1-(1-Z58/(X58-Y58))^4)</f>
        <v/>
      </c>
      <c r="BD58" s="1" t="str">
        <f aca="false">IF(Z58="","",1-(1-(Z58+AA58)/(X58-Y58))^4)</f>
        <v/>
      </c>
      <c r="BE58" s="0" t="str">
        <f aca="false">IF(Y58="","",O58/(Y58+Z58+AA58))</f>
        <v/>
      </c>
      <c r="BF58" s="71"/>
      <c r="BG58" s="0" t="str">
        <f aca="false">IF(BF58="","",Q58-BF58)</f>
        <v/>
      </c>
      <c r="BH58" s="71"/>
      <c r="BI58" s="0" t="str">
        <f aca="false">IF(BH58="","",O58-BH58)</f>
        <v/>
      </c>
      <c r="BJ58" s="0" t="str">
        <f aca="false">IF(AS58="","",AS58-O58-AT58)</f>
        <v/>
      </c>
    </row>
    <row r="59" customFormat="false" ht="15" hidden="false" customHeight="true" outlineLevel="0" collapsed="false">
      <c r="A59" s="1" t="s">
        <v>221</v>
      </c>
      <c r="B59" s="1" t="s">
        <v>223</v>
      </c>
      <c r="C59" s="1" t="s">
        <v>465</v>
      </c>
      <c r="D59" s="1" t="s">
        <v>426</v>
      </c>
      <c r="E59" s="69" t="n">
        <v>43206</v>
      </c>
      <c r="I59" s="1" t="s">
        <v>362</v>
      </c>
      <c r="K59" s="1" t="n">
        <v>13</v>
      </c>
      <c r="M59" s="1" t="n">
        <v>1083200000</v>
      </c>
      <c r="N59" s="1" t="n">
        <v>249638000</v>
      </c>
      <c r="O59" s="1" t="n">
        <v>10083000</v>
      </c>
      <c r="P59" s="1" t="n">
        <v>239555000</v>
      </c>
      <c r="Q59" s="1" t="n">
        <v>0.22115491</v>
      </c>
      <c r="T59" s="1" t="n">
        <v>10832</v>
      </c>
      <c r="AP59" s="1" t="s">
        <v>477</v>
      </c>
      <c r="AQ59" s="1" t="s">
        <v>478</v>
      </c>
      <c r="AR59" s="1" t="s">
        <v>479</v>
      </c>
      <c r="AX59" s="1" t="n">
        <f aca="false">IF(N59="","",N59-O59-P59)</f>
        <v>0</v>
      </c>
      <c r="AY59" s="1" t="n">
        <f aca="false">IF(Q59="","",P59/M59-Q59)</f>
        <v>1.37370753661159E-009</v>
      </c>
      <c r="AZ59" s="1" t="str">
        <f aca="false">IF(U59="","",T59*U59-O59)</f>
        <v/>
      </c>
      <c r="BA59" s="1" t="str">
        <f aca="false">IF(L59="","",L59-(J59+K59/10000))</f>
        <v/>
      </c>
      <c r="BB59" s="1" t="str">
        <f aca="false">IF(OR(R59="",R59=0,L59="",H59=""),"",N59*L59*H59/360/R59-1)</f>
        <v/>
      </c>
      <c r="BC59" s="1" t="str">
        <f aca="false">IF(Z59="","",1-(1-Z59/(X59-Y59))^4)</f>
        <v/>
      </c>
      <c r="BD59" s="1" t="str">
        <f aca="false">IF(Z59="","",1-(1-(Z59+AA59)/(X59-Y59))^4)</f>
        <v/>
      </c>
      <c r="BE59" s="0" t="str">
        <f aca="false">IF(Y59="","",O59/(Y59+Z59+AA59))</f>
        <v/>
      </c>
      <c r="BF59" s="71"/>
      <c r="BG59" s="0" t="str">
        <f aca="false">IF(BF59="","",Q59-BF59)</f>
        <v/>
      </c>
      <c r="BH59" s="71"/>
      <c r="BI59" s="0" t="str">
        <f aca="false">IF(BH59="","",O59-BH59)</f>
        <v/>
      </c>
      <c r="BJ59" s="0" t="str">
        <f aca="false">IF(AS59="","",AS59-O59-AT59)</f>
        <v/>
      </c>
    </row>
    <row r="60" customFormat="false" ht="15" hidden="false" customHeight="true" outlineLevel="0" collapsed="false">
      <c r="A60" s="1" t="s">
        <v>221</v>
      </c>
      <c r="B60" s="1" t="s">
        <v>223</v>
      </c>
      <c r="C60" s="1" t="s">
        <v>465</v>
      </c>
      <c r="D60" s="1" t="s">
        <v>480</v>
      </c>
      <c r="E60" s="69" t="n">
        <v>43297</v>
      </c>
      <c r="I60" s="1" t="s">
        <v>362</v>
      </c>
      <c r="K60" s="1" t="n">
        <v>13</v>
      </c>
      <c r="M60" s="1" t="n">
        <v>1083200000</v>
      </c>
      <c r="N60" s="1" t="n">
        <v>239555000</v>
      </c>
      <c r="O60" s="1" t="n">
        <v>4039000</v>
      </c>
      <c r="P60" s="1" t="n">
        <v>235516000</v>
      </c>
      <c r="Q60" s="1" t="n">
        <v>0.21742614</v>
      </c>
      <c r="T60" s="1" t="n">
        <v>10832</v>
      </c>
      <c r="AP60" s="1" t="s">
        <v>477</v>
      </c>
      <c r="AQ60" s="1" t="s">
        <v>478</v>
      </c>
      <c r="AR60" s="1" t="s">
        <v>479</v>
      </c>
      <c r="AX60" s="1" t="n">
        <f aca="false">IF(N60="","",N60-O60-P60)</f>
        <v>0</v>
      </c>
      <c r="AY60" s="1" t="n">
        <f aca="false">IF(Q60="","",P60/M60-Q60)</f>
        <v>4.7562777050203E-009</v>
      </c>
      <c r="AZ60" s="1" t="str">
        <f aca="false">IF(U60="","",T60*U60-O60)</f>
        <v/>
      </c>
      <c r="BA60" s="1" t="str">
        <f aca="false">IF(L60="","",L60-(J60+K60/10000))</f>
        <v/>
      </c>
      <c r="BB60" s="1" t="str">
        <f aca="false">IF(OR(R60="",R60=0,L60="",H60=""),"",N60*L60*H60/360/R60-1)</f>
        <v/>
      </c>
      <c r="BC60" s="1" t="str">
        <f aca="false">IF(Z60="","",1-(1-Z60/(X60-Y60))^4)</f>
        <v/>
      </c>
      <c r="BD60" s="1" t="str">
        <f aca="false">IF(Z60="","",1-(1-(Z60+AA60)/(X60-Y60))^4)</f>
        <v/>
      </c>
      <c r="BE60" s="0" t="str">
        <f aca="false">IF(Y60="","",O60/(Y60+Z60+AA60))</f>
        <v/>
      </c>
      <c r="BF60" s="71"/>
      <c r="BG60" s="0" t="str">
        <f aca="false">IF(BF60="","",Q60-BF60)</f>
        <v/>
      </c>
      <c r="BH60" s="71"/>
      <c r="BI60" s="0" t="str">
        <f aca="false">IF(BH60="","",O60-BH60)</f>
        <v/>
      </c>
      <c r="BJ60" s="0" t="str">
        <f aca="false">IF(AS60="","",AS60-O60-AT60)</f>
        <v/>
      </c>
    </row>
    <row r="61" customFormat="false" ht="15" hidden="false" customHeight="true" outlineLevel="0" collapsed="false">
      <c r="A61" s="1" t="s">
        <v>221</v>
      </c>
      <c r="B61" s="1" t="s">
        <v>223</v>
      </c>
      <c r="C61" s="1" t="s">
        <v>465</v>
      </c>
      <c r="D61" s="1" t="s">
        <v>481</v>
      </c>
      <c r="E61" s="69" t="n">
        <v>43388</v>
      </c>
      <c r="I61" s="1" t="s">
        <v>362</v>
      </c>
      <c r="K61" s="1" t="n">
        <v>13</v>
      </c>
      <c r="M61" s="1" t="n">
        <v>1083200000</v>
      </c>
      <c r="N61" s="1" t="n">
        <v>235516000</v>
      </c>
      <c r="O61" s="1" t="n">
        <v>5009000</v>
      </c>
      <c r="P61" s="1" t="n">
        <v>230507000</v>
      </c>
      <c r="Q61" s="1" t="n">
        <v>0.21280188</v>
      </c>
      <c r="T61" s="1" t="n">
        <v>10832</v>
      </c>
      <c r="AP61" s="1" t="s">
        <v>477</v>
      </c>
      <c r="AQ61" s="1" t="s">
        <v>478</v>
      </c>
      <c r="AR61" s="1" t="s">
        <v>479</v>
      </c>
      <c r="AX61" s="1" t="n">
        <f aca="false">IF(N61="","",N61-O61-P61)</f>
        <v>0</v>
      </c>
      <c r="AY61" s="1" t="n">
        <f aca="false">IF(Q61="","",P61/M61-Q61)</f>
        <v>3.30871491316387E-009</v>
      </c>
      <c r="AZ61" s="1" t="str">
        <f aca="false">IF(U61="","",T61*U61-O61)</f>
        <v/>
      </c>
      <c r="BA61" s="1" t="str">
        <f aca="false">IF(L61="","",L61-(J61+K61/10000))</f>
        <v/>
      </c>
      <c r="BB61" s="1" t="str">
        <f aca="false">IF(OR(R61="",R61=0,L61="",H61=""),"",N61*L61*H61/360/R61-1)</f>
        <v/>
      </c>
      <c r="BC61" s="1" t="str">
        <f aca="false">IF(Z61="","",1-(1-Z61/(X61-Y61))^4)</f>
        <v/>
      </c>
      <c r="BD61" s="1" t="str">
        <f aca="false">IF(Z61="","",1-(1-(Z61+AA61)/(X61-Y61))^4)</f>
        <v/>
      </c>
      <c r="BE61" s="0" t="str">
        <f aca="false">IF(Y61="","",O61/(Y61+Z61+AA61))</f>
        <v/>
      </c>
      <c r="BF61" s="71"/>
      <c r="BG61" s="0" t="str">
        <f aca="false">IF(BF61="","",Q61-BF61)</f>
        <v/>
      </c>
      <c r="BH61" s="71"/>
      <c r="BI61" s="0" t="str">
        <f aca="false">IF(BH61="","",O61-BH61)</f>
        <v/>
      </c>
      <c r="BJ61" s="0" t="str">
        <f aca="false">IF(AS61="","",AS61-O61-AT61)</f>
        <v/>
      </c>
    </row>
    <row r="62" customFormat="false" ht="15" hidden="false" customHeight="true" outlineLevel="0" collapsed="false">
      <c r="A62" s="1" t="s">
        <v>221</v>
      </c>
      <c r="B62" s="1" t="s">
        <v>223</v>
      </c>
      <c r="C62" s="1" t="s">
        <v>465</v>
      </c>
      <c r="D62" s="1" t="s">
        <v>482</v>
      </c>
      <c r="E62" s="69" t="n">
        <v>43480</v>
      </c>
      <c r="I62" s="1" t="s">
        <v>362</v>
      </c>
      <c r="K62" s="1" t="n">
        <v>13</v>
      </c>
      <c r="M62" s="1" t="n">
        <v>1083200000</v>
      </c>
      <c r="N62" s="1" t="n">
        <v>230507000</v>
      </c>
      <c r="O62" s="1" t="n">
        <v>2910000</v>
      </c>
      <c r="P62" s="1" t="n">
        <v>227597000</v>
      </c>
      <c r="Q62" s="1" t="n">
        <v>0.2101154</v>
      </c>
      <c r="T62" s="1" t="n">
        <v>10832</v>
      </c>
      <c r="AP62" s="1" t="s">
        <v>477</v>
      </c>
      <c r="AQ62" s="1" t="s">
        <v>483</v>
      </c>
      <c r="AR62" s="1" t="s">
        <v>484</v>
      </c>
      <c r="AS62" s="1" t="n">
        <v>57491000</v>
      </c>
      <c r="AT62" s="1" t="n">
        <v>54581000</v>
      </c>
      <c r="AX62" s="1" t="n">
        <f aca="false">IF(N62="","",N62-O62-P62)</f>
        <v>0</v>
      </c>
      <c r="AY62" s="1" t="n">
        <f aca="false">IF(Q62="","",P62/M62-Q62)</f>
        <v>-1.18168391738394E-009</v>
      </c>
      <c r="AZ62" s="1" t="str">
        <f aca="false">IF(U62="","",T62*U62-O62)</f>
        <v/>
      </c>
      <c r="BA62" s="1" t="str">
        <f aca="false">IF(L62="","",L62-(J62+K62/10000))</f>
        <v/>
      </c>
      <c r="BB62" s="1" t="str">
        <f aca="false">IF(OR(R62="",R62=0,L62="",H62=""),"",N62*L62*H62/360/R62-1)</f>
        <v/>
      </c>
      <c r="BC62" s="1" t="str">
        <f aca="false">IF(Z62="","",1-(1-Z62/(X62-Y62))^4)</f>
        <v/>
      </c>
      <c r="BD62" s="1" t="str">
        <f aca="false">IF(Z62="","",1-(1-(Z62+AA62)/(X62-Y62))^4)</f>
        <v/>
      </c>
      <c r="BE62" s="0" t="str">
        <f aca="false">IF(Y62="","",O62/(Y62+Z62+AA62))</f>
        <v/>
      </c>
      <c r="BF62" s="71"/>
      <c r="BG62" s="0" t="str">
        <f aca="false">IF(BF62="","",Q62-BF62)</f>
        <v/>
      </c>
      <c r="BH62" s="71"/>
      <c r="BI62" s="0" t="str">
        <f aca="false">IF(BH62="","",O62-BH62)</f>
        <v/>
      </c>
      <c r="BJ62" s="70" t="n">
        <f aca="false">IF(AS62="","",AS62-O62-AT62)</f>
        <v>0</v>
      </c>
    </row>
    <row r="63" customFormat="false" ht="15" hidden="false" customHeight="true" outlineLevel="0" collapsed="false">
      <c r="A63" s="1" t="s">
        <v>221</v>
      </c>
      <c r="B63" s="1" t="s">
        <v>223</v>
      </c>
      <c r="C63" s="1" t="s">
        <v>465</v>
      </c>
      <c r="D63" s="1" t="s">
        <v>485</v>
      </c>
      <c r="E63" s="69" t="n">
        <v>43570</v>
      </c>
      <c r="I63" s="1" t="s">
        <v>362</v>
      </c>
      <c r="K63" s="1" t="n">
        <v>13</v>
      </c>
      <c r="M63" s="1" t="n">
        <v>1083200000</v>
      </c>
      <c r="N63" s="1" t="n">
        <v>227597000</v>
      </c>
      <c r="O63" s="1" t="n">
        <v>2414000</v>
      </c>
      <c r="P63" s="1" t="n">
        <v>225183000</v>
      </c>
      <c r="Q63" s="1" t="n">
        <v>0.20788682</v>
      </c>
      <c r="T63" s="1" t="n">
        <v>10832</v>
      </c>
      <c r="AP63" s="1" t="s">
        <v>477</v>
      </c>
      <c r="AQ63" s="1" t="s">
        <v>483</v>
      </c>
      <c r="AR63" s="1" t="s">
        <v>486</v>
      </c>
      <c r="AS63" s="1" t="n">
        <v>61380000</v>
      </c>
      <c r="AT63" s="1" t="n">
        <v>58966000</v>
      </c>
      <c r="AX63" s="1" t="n">
        <f aca="false">IF(N63="","",N63-O63-P63)</f>
        <v>0</v>
      </c>
      <c r="AY63" s="1" t="n">
        <f aca="false">IF(Q63="","",P63/M63-Q63)</f>
        <v>-3.16100443042977E-009</v>
      </c>
      <c r="AZ63" s="1" t="str">
        <f aca="false">IF(U63="","",T63*U63-O63)</f>
        <v/>
      </c>
      <c r="BA63" s="1" t="str">
        <f aca="false">IF(L63="","",L63-(J63+K63/10000))</f>
        <v/>
      </c>
      <c r="BB63" s="1" t="str">
        <f aca="false">IF(OR(R63="",R63=0,L63="",H63=""),"",N63*L63*H63/360/R63-1)</f>
        <v/>
      </c>
      <c r="BC63" s="1" t="str">
        <f aca="false">IF(Z63="","",1-(1-Z63/(X63-Y63))^4)</f>
        <v/>
      </c>
      <c r="BD63" s="1" t="str">
        <f aca="false">IF(Z63="","",1-(1-(Z63+AA63)/(X63-Y63))^4)</f>
        <v/>
      </c>
      <c r="BE63" s="0" t="str">
        <f aca="false">IF(Y63="","",O63/(Y63+Z63+AA63))</f>
        <v/>
      </c>
      <c r="BF63" s="71"/>
      <c r="BG63" s="0" t="str">
        <f aca="false">IF(BF63="","",Q63-BF63)</f>
        <v/>
      </c>
      <c r="BH63" s="71"/>
      <c r="BI63" s="0" t="str">
        <f aca="false">IF(BH63="","",O63-BH63)</f>
        <v/>
      </c>
      <c r="BJ63" s="70" t="n">
        <f aca="false">IF(AS63="","",AS63-O63-AT63)</f>
        <v>0</v>
      </c>
    </row>
    <row r="64" customFormat="false" ht="15" hidden="false" customHeight="true" outlineLevel="0" collapsed="false">
      <c r="A64" s="1" t="s">
        <v>221</v>
      </c>
      <c r="B64" s="1" t="s">
        <v>223</v>
      </c>
      <c r="C64" s="1" t="s">
        <v>465</v>
      </c>
      <c r="D64" s="1" t="s">
        <v>487</v>
      </c>
      <c r="E64" s="69" t="n">
        <v>43661</v>
      </c>
      <c r="I64" s="1" t="s">
        <v>362</v>
      </c>
      <c r="K64" s="1" t="n">
        <v>13</v>
      </c>
      <c r="M64" s="1" t="n">
        <v>1083200000</v>
      </c>
      <c r="N64" s="1" t="n">
        <v>225183000</v>
      </c>
      <c r="O64" s="1" t="n">
        <v>6208000</v>
      </c>
      <c r="P64" s="1" t="n">
        <v>218975000</v>
      </c>
      <c r="Q64" s="1" t="n">
        <v>0.20215565</v>
      </c>
      <c r="T64" s="1" t="n">
        <v>10832</v>
      </c>
      <c r="AP64" s="1" t="s">
        <v>477</v>
      </c>
      <c r="AQ64" s="1" t="s">
        <v>483</v>
      </c>
      <c r="AR64" s="1" t="s">
        <v>488</v>
      </c>
      <c r="AS64" s="1" t="n">
        <v>67072000</v>
      </c>
      <c r="AT64" s="1" t="n">
        <v>60864000</v>
      </c>
      <c r="AX64" s="1" t="n">
        <f aca="false">IF(N64="","",N64-O64-P64)</f>
        <v>0</v>
      </c>
      <c r="AY64" s="1" t="n">
        <f aca="false">IF(Q64="","",P64/M64-Q64)</f>
        <v>-7.38552274892612E-011</v>
      </c>
      <c r="AZ64" s="1" t="str">
        <f aca="false">IF(U64="","",T64*U64-O64)</f>
        <v/>
      </c>
      <c r="BA64" s="1" t="str">
        <f aca="false">IF(L64="","",L64-(J64+K64/10000))</f>
        <v/>
      </c>
      <c r="BB64" s="1" t="str">
        <f aca="false">IF(OR(R64="",R64=0,L64="",H64=""),"",N64*L64*H64/360/R64-1)</f>
        <v/>
      </c>
      <c r="BC64" s="1" t="str">
        <f aca="false">IF(Z64="","",1-(1-Z64/(X64-Y64))^4)</f>
        <v/>
      </c>
      <c r="BD64" s="1" t="str">
        <f aca="false">IF(Z64="","",1-(1-(Z64+AA64)/(X64-Y64))^4)</f>
        <v/>
      </c>
      <c r="BE64" s="0" t="str">
        <f aca="false">IF(Y64="","",O64/(Y64+Z64+AA64))</f>
        <v/>
      </c>
      <c r="BF64" s="71"/>
      <c r="BG64" s="0" t="str">
        <f aca="false">IF(BF64="","",Q64-BF64)</f>
        <v/>
      </c>
      <c r="BH64" s="71"/>
      <c r="BI64" s="0" t="str">
        <f aca="false">IF(BH64="","",O64-BH64)</f>
        <v/>
      </c>
      <c r="BJ64" s="70" t="n">
        <f aca="false">IF(AS64="","",AS64-O64-AT64)</f>
        <v>0</v>
      </c>
    </row>
    <row r="65" customFormat="false" ht="15" hidden="false" customHeight="true" outlineLevel="0" collapsed="false">
      <c r="A65" s="1" t="s">
        <v>221</v>
      </c>
      <c r="B65" s="1" t="s">
        <v>223</v>
      </c>
      <c r="C65" s="1" t="s">
        <v>465</v>
      </c>
      <c r="D65" s="1" t="s">
        <v>489</v>
      </c>
      <c r="E65" s="69" t="n">
        <v>43753</v>
      </c>
      <c r="I65" s="1" t="s">
        <v>362</v>
      </c>
      <c r="K65" s="1" t="n">
        <v>13</v>
      </c>
      <c r="M65" s="1" t="n">
        <v>1083200000</v>
      </c>
      <c r="N65" s="1" t="n">
        <v>218975000</v>
      </c>
      <c r="O65" s="1" t="n">
        <v>1954000</v>
      </c>
      <c r="P65" s="1" t="n">
        <v>217021000</v>
      </c>
      <c r="Q65" s="1" t="n">
        <v>0.20035174</v>
      </c>
      <c r="T65" s="1" t="n">
        <v>10832</v>
      </c>
      <c r="AP65" s="1" t="s">
        <v>477</v>
      </c>
      <c r="AQ65" s="1" t="s">
        <v>483</v>
      </c>
      <c r="AR65" s="1" t="s">
        <v>490</v>
      </c>
      <c r="AS65" s="1" t="n">
        <v>67545000</v>
      </c>
      <c r="AT65" s="1" t="n">
        <v>65591000</v>
      </c>
      <c r="AX65" s="1" t="n">
        <f aca="false">IF(N65="","",N65-O65-P65)</f>
        <v>0</v>
      </c>
      <c r="AY65" s="1" t="n">
        <f aca="false">IF(Q65="","",P65/M65-Q65)</f>
        <v>-4.40177252980512E-009</v>
      </c>
      <c r="AZ65" s="1" t="str">
        <f aca="false">IF(U65="","",T65*U65-O65)</f>
        <v/>
      </c>
      <c r="BA65" s="1" t="str">
        <f aca="false">IF(L65="","",L65-(J65+K65/10000))</f>
        <v/>
      </c>
      <c r="BB65" s="1" t="str">
        <f aca="false">IF(OR(R65="",R65=0,L65="",H65=""),"",N65*L65*H65/360/R65-1)</f>
        <v/>
      </c>
      <c r="BC65" s="1" t="str">
        <f aca="false">IF(Z65="","",1-(1-Z65/(X65-Y65))^4)</f>
        <v/>
      </c>
      <c r="BD65" s="1" t="str">
        <f aca="false">IF(Z65="","",1-(1-(Z65+AA65)/(X65-Y65))^4)</f>
        <v/>
      </c>
      <c r="BE65" s="0" t="str">
        <f aca="false">IF(Y65="","",O65/(Y65+Z65+AA65))</f>
        <v/>
      </c>
      <c r="BF65" s="71"/>
      <c r="BG65" s="0" t="str">
        <f aca="false">IF(BF65="","",Q65-BF65)</f>
        <v/>
      </c>
      <c r="BH65" s="71"/>
      <c r="BI65" s="0" t="str">
        <f aca="false">IF(BH65="","",O65-BH65)</f>
        <v/>
      </c>
      <c r="BJ65" s="70" t="n">
        <f aca="false">IF(AS65="","",AS65-O65-AT65)</f>
        <v>0</v>
      </c>
    </row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  <row r="250" customFormat="false" ht="15" hidden="false" customHeight="true" outlineLevel="0" collapsed="false"/>
    <row r="251" customFormat="false" ht="15" hidden="false" customHeight="true" outlineLevel="0" collapsed="false"/>
    <row r="252" customFormat="false" ht="15" hidden="false" customHeight="true" outlineLevel="0" collapsed="false"/>
    <row r="253" customFormat="false" ht="15" hidden="false" customHeight="true" outlineLevel="0" collapsed="false"/>
    <row r="254" customFormat="false" ht="15" hidden="false" customHeight="true" outlineLevel="0" collapsed="false"/>
    <row r="255" customFormat="false" ht="15" hidden="false" customHeight="true" outlineLevel="0" collapsed="false"/>
    <row r="256" customFormat="false" ht="15" hidden="false" customHeight="true" outlineLevel="0" collapsed="false"/>
    <row r="257" customFormat="false" ht="15" hidden="false" customHeight="true" outlineLevel="0" collapsed="false"/>
    <row r="258" customFormat="false" ht="15" hidden="false" customHeight="true" outlineLevel="0" collapsed="false"/>
    <row r="259" customFormat="false" ht="15" hidden="false" customHeight="true" outlineLevel="0" collapsed="false"/>
    <row r="260" customFormat="false" ht="15" hidden="false" customHeight="true" outlineLevel="0" collapsed="false"/>
    <row r="261" customFormat="false" ht="15" hidden="false" customHeight="true" outlineLevel="0" collapsed="false"/>
    <row r="262" customFormat="false" ht="15" hidden="false" customHeight="true" outlineLevel="0" collapsed="false"/>
    <row r="263" customFormat="false" ht="15" hidden="false" customHeight="true" outlineLevel="0" collapsed="false"/>
    <row r="264" customFormat="false" ht="15" hidden="false" customHeight="true" outlineLevel="0" collapsed="false"/>
    <row r="265" customFormat="false" ht="15" hidden="false" customHeight="true" outlineLevel="0" collapsed="false"/>
    <row r="266" customFormat="false" ht="15" hidden="false" customHeight="true" outlineLevel="0" collapsed="false"/>
    <row r="267" customFormat="false" ht="15" hidden="false" customHeight="true" outlineLevel="0" collapsed="false"/>
    <row r="268" customFormat="false" ht="15" hidden="false" customHeight="true" outlineLevel="0" collapsed="false"/>
    <row r="269" customFormat="false" ht="15" hidden="false" customHeight="true" outlineLevel="0" collapsed="false"/>
    <row r="270" customFormat="false" ht="15" hidden="false" customHeight="true" outlineLevel="0" collapsed="false"/>
    <row r="271" customFormat="false" ht="15" hidden="false" customHeight="true" outlineLevel="0" collapsed="false"/>
    <row r="272" customFormat="false" ht="15" hidden="false" customHeight="true" outlineLevel="0" collapsed="false"/>
    <row r="273" customFormat="false" ht="15" hidden="false" customHeight="true" outlineLevel="0" collapsed="false"/>
    <row r="274" customFormat="false" ht="15" hidden="false" customHeight="true" outlineLevel="0" collapsed="false"/>
    <row r="275" customFormat="false" ht="15" hidden="false" customHeight="true" outlineLevel="0" collapsed="false"/>
    <row r="276" customFormat="false" ht="15" hidden="false" customHeight="true" outlineLevel="0" collapsed="false"/>
    <row r="277" customFormat="false" ht="15" hidden="false" customHeight="true" outlineLevel="0" collapsed="false"/>
    <row r="278" customFormat="false" ht="15" hidden="false" customHeight="true" outlineLevel="0" collapsed="false"/>
    <row r="279" customFormat="false" ht="15" hidden="false" customHeight="true" outlineLevel="0" collapsed="false"/>
    <row r="280" customFormat="false" ht="15" hidden="false" customHeight="true" outlineLevel="0" collapsed="false"/>
    <row r="281" customFormat="false" ht="15" hidden="false" customHeight="true" outlineLevel="0" collapsed="false"/>
    <row r="282" customFormat="false" ht="15" hidden="false" customHeight="true" outlineLevel="0" collapsed="false"/>
    <row r="283" customFormat="false" ht="15" hidden="false" customHeight="true" outlineLevel="0" collapsed="false"/>
    <row r="284" customFormat="false" ht="15" hidden="false" customHeight="true" outlineLevel="0" collapsed="false"/>
    <row r="285" customFormat="false" ht="15" hidden="false" customHeight="true" outlineLevel="0" collapsed="false"/>
    <row r="286" customFormat="false" ht="15" hidden="false" customHeight="true" outlineLevel="0" collapsed="false"/>
    <row r="287" customFormat="false" ht="15" hidden="false" customHeight="true" outlineLevel="0" collapsed="false"/>
    <row r="288" customFormat="false" ht="15" hidden="false" customHeight="true" outlineLevel="0" collapsed="false"/>
    <row r="289" customFormat="false" ht="15" hidden="false" customHeight="true" outlineLevel="0" collapsed="false"/>
    <row r="290" customFormat="false" ht="15" hidden="false" customHeight="true" outlineLevel="0" collapsed="false"/>
    <row r="291" customFormat="false" ht="15" hidden="false" customHeight="true" outlineLevel="0" collapsed="false"/>
    <row r="292" customFormat="false" ht="15" hidden="false" customHeight="true" outlineLevel="0" collapsed="false"/>
    <row r="293" customFormat="false" ht="15" hidden="false" customHeight="true" outlineLevel="0" collapsed="false"/>
    <row r="294" customFormat="false" ht="15" hidden="false" customHeight="true" outlineLevel="0" collapsed="false"/>
    <row r="295" customFormat="false" ht="15" hidden="false" customHeight="true" outlineLevel="0" collapsed="false"/>
    <row r="296" customFormat="false" ht="15" hidden="false" customHeight="true" outlineLevel="0" collapsed="false"/>
    <row r="297" customFormat="false" ht="15" hidden="false" customHeight="true" outlineLevel="0" collapsed="false"/>
    <row r="298" customFormat="false" ht="15" hidden="false" customHeight="true" outlineLevel="0" collapsed="false"/>
    <row r="299" customFormat="false" ht="15" hidden="false" customHeight="true" outlineLevel="0" collapsed="false"/>
    <row r="300" customFormat="false" ht="15" hidden="false" customHeight="true" outlineLevel="0" collapsed="false"/>
    <row r="301" customFormat="false" ht="15" hidden="false" customHeight="true" outlineLevel="0" collapsed="false"/>
    <row r="302" customFormat="false" ht="15" hidden="false" customHeight="true" outlineLevel="0" collapsed="false"/>
    <row r="303" customFormat="false" ht="15" hidden="false" customHeight="true" outlineLevel="0" collapsed="false"/>
    <row r="304" customFormat="false" ht="15" hidden="false" customHeight="true" outlineLevel="0" collapsed="false"/>
    <row r="305" customFormat="false" ht="15" hidden="false" customHeight="true" outlineLevel="0" collapsed="false"/>
    <row r="306" customFormat="false" ht="15" hidden="false" customHeight="true" outlineLevel="0" collapsed="false"/>
    <row r="307" customFormat="false" ht="15" hidden="false" customHeight="true" outlineLevel="0" collapsed="false"/>
    <row r="308" customFormat="false" ht="15" hidden="false" customHeight="true" outlineLevel="0" collapsed="false"/>
    <row r="309" customFormat="false" ht="15" hidden="false" customHeight="true" outlineLevel="0" collapsed="false"/>
    <row r="310" customFormat="false" ht="15" hidden="false" customHeight="true" outlineLevel="0" collapsed="false"/>
    <row r="311" customFormat="false" ht="15" hidden="false" customHeight="true" outlineLevel="0" collapsed="false"/>
    <row r="312" customFormat="false" ht="15" hidden="false" customHeight="true" outlineLevel="0" collapsed="false"/>
    <row r="313" customFormat="false" ht="15" hidden="false" customHeight="true" outlineLevel="0" collapsed="false"/>
    <row r="314" customFormat="false" ht="15" hidden="false" customHeight="true" outlineLevel="0" collapsed="false"/>
    <row r="315" customFormat="false" ht="15" hidden="false" customHeight="true" outlineLevel="0" collapsed="false"/>
    <row r="316" customFormat="false" ht="15" hidden="false" customHeight="true" outlineLevel="0" collapsed="false"/>
    <row r="317" customFormat="false" ht="15" hidden="false" customHeight="true" outlineLevel="0" collapsed="false"/>
    <row r="318" customFormat="false" ht="15" hidden="false" customHeight="true" outlineLevel="0" collapsed="false"/>
    <row r="319" customFormat="false" ht="15" hidden="false" customHeight="true" outlineLevel="0" collapsed="false"/>
    <row r="320" customFormat="false" ht="15" hidden="false" customHeight="true" outlineLevel="0" collapsed="false"/>
    <row r="321" customFormat="false" ht="15" hidden="false" customHeight="true" outlineLevel="0" collapsed="false"/>
    <row r="322" customFormat="false" ht="15" hidden="false" customHeight="true" outlineLevel="0" collapsed="false"/>
    <row r="323" customFormat="false" ht="15" hidden="false" customHeight="true" outlineLevel="0" collapsed="false"/>
    <row r="324" customFormat="false" ht="15" hidden="false" customHeight="true" outlineLevel="0" collapsed="false"/>
    <row r="325" customFormat="false" ht="15" hidden="false" customHeight="true" outlineLevel="0" collapsed="false"/>
    <row r="326" customFormat="false" ht="15" hidden="false" customHeight="true" outlineLevel="0" collapsed="false"/>
    <row r="327" customFormat="false" ht="15" hidden="false" customHeight="true" outlineLevel="0" collapsed="false"/>
    <row r="328" customFormat="false" ht="15" hidden="false" customHeight="true" outlineLevel="0" collapsed="false"/>
    <row r="329" customFormat="false" ht="15" hidden="false" customHeight="true" outlineLevel="0" collapsed="false"/>
    <row r="330" customFormat="false" ht="15" hidden="false" customHeight="true" outlineLevel="0" collapsed="false"/>
    <row r="331" customFormat="false" ht="15" hidden="false" customHeight="true" outlineLevel="0" collapsed="false"/>
    <row r="332" customFormat="false" ht="15" hidden="false" customHeight="true" outlineLevel="0" collapsed="false"/>
    <row r="333" customFormat="false" ht="15" hidden="false" customHeight="true" outlineLevel="0" collapsed="false"/>
    <row r="334" customFormat="false" ht="15" hidden="false" customHeight="true" outlineLevel="0" collapsed="false"/>
    <row r="335" customFormat="false" ht="15" hidden="false" customHeight="true" outlineLevel="0" collapsed="false"/>
    <row r="336" customFormat="false" ht="15" hidden="false" customHeight="true" outlineLevel="0" collapsed="false"/>
    <row r="337" customFormat="false" ht="15" hidden="false" customHeight="true" outlineLevel="0" collapsed="false"/>
    <row r="338" customFormat="false" ht="15" hidden="false" customHeight="true" outlineLevel="0" collapsed="false"/>
    <row r="339" customFormat="false" ht="15" hidden="false" customHeight="true" outlineLevel="0" collapsed="false"/>
    <row r="340" customFormat="false" ht="15" hidden="false" customHeight="true" outlineLevel="0" collapsed="false"/>
    <row r="341" customFormat="false" ht="15" hidden="false" customHeight="true" outlineLevel="0" collapsed="false"/>
    <row r="342" customFormat="false" ht="15" hidden="false" customHeight="true" outlineLevel="0" collapsed="false"/>
    <row r="343" customFormat="false" ht="15" hidden="false" customHeight="true" outlineLevel="0" collapsed="false"/>
    <row r="344" customFormat="false" ht="15" hidden="false" customHeight="true" outlineLevel="0" collapsed="false"/>
    <row r="345" customFormat="false" ht="15" hidden="false" customHeight="true" outlineLevel="0" collapsed="false"/>
    <row r="346" customFormat="false" ht="15" hidden="false" customHeight="true" outlineLevel="0" collapsed="false"/>
    <row r="347" customFormat="false" ht="15" hidden="false" customHeight="true" outlineLevel="0" collapsed="false"/>
    <row r="348" customFormat="false" ht="15" hidden="false" customHeight="true" outlineLevel="0" collapsed="false"/>
    <row r="349" customFormat="false" ht="15" hidden="false" customHeight="true" outlineLevel="0" collapsed="false"/>
    <row r="350" customFormat="false" ht="15" hidden="false" customHeight="true" outlineLevel="0" collapsed="false"/>
    <row r="351" customFormat="false" ht="15" hidden="false" customHeight="true" outlineLevel="0" collapsed="false"/>
    <row r="352" customFormat="false" ht="15" hidden="false" customHeight="true" outlineLevel="0" collapsed="false"/>
    <row r="353" customFormat="false" ht="15" hidden="false" customHeight="true" outlineLevel="0" collapsed="false"/>
    <row r="354" customFormat="false" ht="15" hidden="false" customHeight="true" outlineLevel="0" collapsed="false"/>
    <row r="355" customFormat="false" ht="15" hidden="false" customHeight="true" outlineLevel="0" collapsed="false"/>
    <row r="356" customFormat="false" ht="15" hidden="false" customHeight="true" outlineLevel="0" collapsed="false"/>
    <row r="357" customFormat="false" ht="15" hidden="false" customHeight="true" outlineLevel="0" collapsed="false"/>
    <row r="358" customFormat="false" ht="15" hidden="false" customHeight="true" outlineLevel="0" collapsed="false"/>
    <row r="359" customFormat="false" ht="15" hidden="false" customHeight="true" outlineLevel="0" collapsed="false"/>
    <row r="360" customFormat="false" ht="15" hidden="false" customHeight="true" outlineLevel="0" collapsed="false"/>
    <row r="361" customFormat="false" ht="15" hidden="false" customHeight="true" outlineLevel="0" collapsed="false"/>
    <row r="362" customFormat="false" ht="15" hidden="false" customHeight="true" outlineLevel="0" collapsed="false"/>
    <row r="363" customFormat="false" ht="15" hidden="false" customHeight="true" outlineLevel="0" collapsed="false"/>
    <row r="364" customFormat="false" ht="15" hidden="false" customHeight="true" outlineLevel="0" collapsed="false"/>
    <row r="365" customFormat="false" ht="15" hidden="false" customHeight="true" outlineLevel="0" collapsed="false"/>
    <row r="366" customFormat="false" ht="15" hidden="false" customHeight="true" outlineLevel="0" collapsed="false"/>
    <row r="367" customFormat="false" ht="15" hidden="false" customHeight="true" outlineLevel="0" collapsed="false"/>
    <row r="368" customFormat="false" ht="15" hidden="false" customHeight="true" outlineLevel="0" collapsed="false"/>
    <row r="369" customFormat="false" ht="15" hidden="false" customHeight="true" outlineLevel="0" collapsed="false"/>
    <row r="370" customFormat="false" ht="15" hidden="false" customHeight="true" outlineLevel="0" collapsed="false"/>
    <row r="371" customFormat="false" ht="15" hidden="false" customHeight="true" outlineLevel="0" collapsed="false"/>
    <row r="372" customFormat="false" ht="15" hidden="false" customHeight="true" outlineLevel="0" collapsed="false"/>
    <row r="373" customFormat="false" ht="15" hidden="false" customHeight="true" outlineLevel="0" collapsed="false"/>
    <row r="374" customFormat="false" ht="15" hidden="false" customHeight="true" outlineLevel="0" collapsed="false"/>
    <row r="375" customFormat="false" ht="15" hidden="false" customHeight="true" outlineLevel="0" collapsed="false"/>
    <row r="376" customFormat="false" ht="15" hidden="false" customHeight="true" outlineLevel="0" collapsed="false"/>
    <row r="377" customFormat="false" ht="15" hidden="false" customHeight="true" outlineLevel="0" collapsed="false"/>
    <row r="378" customFormat="false" ht="15" hidden="false" customHeight="true" outlineLevel="0" collapsed="false"/>
    <row r="379" customFormat="false" ht="15" hidden="false" customHeight="true" outlineLevel="0" collapsed="false"/>
    <row r="380" customFormat="false" ht="15" hidden="false" customHeight="true" outlineLevel="0" collapsed="false"/>
    <row r="381" customFormat="false" ht="15" hidden="false" customHeight="true" outlineLevel="0" collapsed="false"/>
    <row r="382" customFormat="false" ht="15" hidden="false" customHeight="true" outlineLevel="0" collapsed="false"/>
    <row r="383" customFormat="false" ht="15" hidden="false" customHeight="true" outlineLevel="0" collapsed="false"/>
    <row r="384" customFormat="false" ht="15" hidden="false" customHeight="true" outlineLevel="0" collapsed="false"/>
    <row r="385" customFormat="false" ht="15" hidden="false" customHeight="true" outlineLevel="0" collapsed="false"/>
    <row r="386" customFormat="false" ht="15" hidden="false" customHeight="true" outlineLevel="0" collapsed="false"/>
    <row r="387" customFormat="false" ht="15" hidden="false" customHeight="true" outlineLevel="0" collapsed="false"/>
    <row r="388" customFormat="false" ht="15" hidden="false" customHeight="true" outlineLevel="0" collapsed="false"/>
    <row r="389" customFormat="false" ht="15" hidden="false" customHeight="true" outlineLevel="0" collapsed="false"/>
    <row r="390" customFormat="false" ht="15" hidden="false" customHeight="true" outlineLevel="0" collapsed="false"/>
    <row r="391" customFormat="false" ht="15" hidden="false" customHeight="true" outlineLevel="0" collapsed="false"/>
    <row r="392" customFormat="false" ht="15" hidden="false" customHeight="true" outlineLevel="0" collapsed="false"/>
    <row r="393" customFormat="false" ht="15" hidden="false" customHeight="true" outlineLevel="0" collapsed="false"/>
    <row r="394" customFormat="false" ht="15" hidden="false" customHeight="true" outlineLevel="0" collapsed="false"/>
    <row r="395" customFormat="false" ht="15" hidden="false" customHeight="true" outlineLevel="0" collapsed="false"/>
    <row r="396" customFormat="false" ht="15" hidden="false" customHeight="true" outlineLevel="0" collapsed="false"/>
    <row r="397" customFormat="false" ht="15" hidden="false" customHeight="true" outlineLevel="0" collapsed="false"/>
    <row r="398" customFormat="false" ht="15" hidden="false" customHeight="true" outlineLevel="0" collapsed="false"/>
    <row r="399" customFormat="false" ht="15" hidden="false" customHeight="true" outlineLevel="0" collapsed="false"/>
    <row r="400" customFormat="false" ht="15" hidden="false" customHeight="true" outlineLevel="0" collapsed="false"/>
    <row r="401" customFormat="false" ht="15" hidden="false" customHeight="true" outlineLevel="0" collapsed="false"/>
    <row r="402" customFormat="false" ht="15" hidden="false" customHeight="true" outlineLevel="0" collapsed="false"/>
    <row r="403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4" min="3" style="1" width="26"/>
    <col collapsed="false" customWidth="true" hidden="false" outlineLevel="0" max="5" min="5" style="1" width="10"/>
    <col collapsed="false" customWidth="true" hidden="false" outlineLevel="0" max="6" min="6" style="1" width="90"/>
    <col collapsed="false" customWidth="true" hidden="false" outlineLevel="0" max="7" min="7" style="1" width="26"/>
    <col collapsed="false" customWidth="true" hidden="false" outlineLevel="0" max="8" min="8" style="1" width="70"/>
  </cols>
  <sheetData>
    <row r="1" customFormat="false" ht="15" hidden="false" customHeight="true" outlineLevel="0" collapsed="false">
      <c r="A1" s="40" t="s">
        <v>297</v>
      </c>
      <c r="B1" s="40" t="s">
        <v>491</v>
      </c>
      <c r="C1" s="40" t="s">
        <v>298</v>
      </c>
      <c r="D1" s="40" t="s">
        <v>492</v>
      </c>
      <c r="E1" s="40" t="s">
        <v>493</v>
      </c>
      <c r="F1" s="40" t="s">
        <v>494</v>
      </c>
      <c r="G1" s="40" t="s">
        <v>495</v>
      </c>
      <c r="H1" s="40" t="s">
        <v>496</v>
      </c>
    </row>
    <row r="2" customFormat="false" ht="15" hidden="false" customHeight="true" outlineLevel="0" collapsed="false">
      <c r="A2" s="1" t="s">
        <v>22</v>
      </c>
      <c r="B2" s="1" t="s">
        <v>117</v>
      </c>
      <c r="C2" s="1" t="s">
        <v>118</v>
      </c>
      <c r="D2" s="1" t="s">
        <v>497</v>
      </c>
      <c r="E2" s="1" t="s">
        <v>498</v>
      </c>
      <c r="F2" s="1" t="s">
        <v>499</v>
      </c>
      <c r="G2" s="1" t="s">
        <v>500</v>
      </c>
      <c r="H2" s="1" t="s">
        <v>501</v>
      </c>
    </row>
    <row r="3" customFormat="false" ht="23.25" hidden="false" customHeight="true" outlineLevel="0" collapsed="false">
      <c r="A3" s="1" t="s">
        <v>22</v>
      </c>
      <c r="B3" s="1" t="s">
        <v>117</v>
      </c>
      <c r="C3" s="1" t="s">
        <v>118</v>
      </c>
      <c r="D3" s="1" t="s">
        <v>502</v>
      </c>
      <c r="E3" s="1" t="s">
        <v>503</v>
      </c>
      <c r="F3" s="1" t="s">
        <v>504</v>
      </c>
      <c r="G3" s="1" t="s">
        <v>505</v>
      </c>
      <c r="H3" s="1" t="s">
        <v>506</v>
      </c>
    </row>
    <row r="4" customFormat="false" ht="23.25" hidden="false" customHeight="true" outlineLevel="0" collapsed="false">
      <c r="A4" s="1" t="s">
        <v>22</v>
      </c>
      <c r="B4" s="1" t="s">
        <v>117</v>
      </c>
      <c r="C4" s="1" t="s">
        <v>118</v>
      </c>
      <c r="D4" s="1" t="s">
        <v>502</v>
      </c>
      <c r="E4" s="1" t="s">
        <v>507</v>
      </c>
      <c r="F4" s="1" t="s">
        <v>508</v>
      </c>
      <c r="G4" s="1" t="s">
        <v>505</v>
      </c>
      <c r="H4" s="1" t="s">
        <v>506</v>
      </c>
    </row>
    <row r="5" customFormat="false" ht="23.25" hidden="false" customHeight="true" outlineLevel="0" collapsed="false">
      <c r="A5" s="1" t="s">
        <v>22</v>
      </c>
      <c r="B5" s="1" t="s">
        <v>117</v>
      </c>
      <c r="C5" s="1" t="s">
        <v>118</v>
      </c>
      <c r="D5" s="1" t="s">
        <v>502</v>
      </c>
      <c r="E5" s="1" t="s">
        <v>361</v>
      </c>
      <c r="F5" s="1" t="s">
        <v>364</v>
      </c>
      <c r="G5" s="1" t="s">
        <v>509</v>
      </c>
      <c r="H5" s="1" t="s">
        <v>506</v>
      </c>
    </row>
    <row r="6" customFormat="false" ht="23.25" hidden="false" customHeight="true" outlineLevel="0" collapsed="false">
      <c r="A6" s="1" t="s">
        <v>22</v>
      </c>
      <c r="B6" s="1" t="s">
        <v>117</v>
      </c>
      <c r="C6" s="1" t="s">
        <v>118</v>
      </c>
      <c r="D6" s="1" t="s">
        <v>502</v>
      </c>
      <c r="E6" s="1" t="s">
        <v>405</v>
      </c>
      <c r="F6" s="1" t="s">
        <v>406</v>
      </c>
      <c r="G6" s="1" t="s">
        <v>509</v>
      </c>
      <c r="H6" s="1" t="s">
        <v>506</v>
      </c>
    </row>
    <row r="7" customFormat="false" ht="23.25" hidden="false" customHeight="true" outlineLevel="0" collapsed="false">
      <c r="A7" s="1" t="s">
        <v>22</v>
      </c>
      <c r="B7" s="1" t="s">
        <v>117</v>
      </c>
      <c r="C7" s="1" t="s">
        <v>118</v>
      </c>
      <c r="D7" s="1" t="s">
        <v>502</v>
      </c>
      <c r="E7" s="1" t="s">
        <v>410</v>
      </c>
      <c r="F7" s="1" t="s">
        <v>411</v>
      </c>
      <c r="G7" s="1" t="s">
        <v>509</v>
      </c>
      <c r="H7" s="1" t="s">
        <v>506</v>
      </c>
    </row>
    <row r="8" customFormat="false" ht="23.25" hidden="false" customHeight="true" outlineLevel="0" collapsed="false">
      <c r="A8" s="1" t="s">
        <v>22</v>
      </c>
      <c r="B8" s="1" t="s">
        <v>117</v>
      </c>
      <c r="C8" s="1" t="s">
        <v>118</v>
      </c>
      <c r="D8" s="1" t="s">
        <v>502</v>
      </c>
      <c r="E8" s="1" t="s">
        <v>412</v>
      </c>
      <c r="F8" s="1" t="s">
        <v>413</v>
      </c>
      <c r="G8" s="1" t="s">
        <v>509</v>
      </c>
      <c r="H8" s="1" t="s">
        <v>506</v>
      </c>
    </row>
    <row r="9" customFormat="false" ht="23.25" hidden="false" customHeight="true" outlineLevel="0" collapsed="false">
      <c r="A9" s="1" t="s">
        <v>129</v>
      </c>
      <c r="B9" s="1" t="s">
        <v>130</v>
      </c>
      <c r="C9" s="1" t="s">
        <v>131</v>
      </c>
      <c r="D9" s="1" t="s">
        <v>502</v>
      </c>
      <c r="E9" s="1" t="s">
        <v>430</v>
      </c>
      <c r="F9" s="1" t="s">
        <v>431</v>
      </c>
      <c r="G9" s="1" t="s">
        <v>509</v>
      </c>
      <c r="H9" s="1" t="s">
        <v>506</v>
      </c>
    </row>
    <row r="10" customFormat="false" ht="23.25" hidden="false" customHeight="true" outlineLevel="0" collapsed="false">
      <c r="A10" s="1" t="s">
        <v>129</v>
      </c>
      <c r="B10" s="1" t="s">
        <v>130</v>
      </c>
      <c r="C10" s="1" t="s">
        <v>131</v>
      </c>
      <c r="D10" s="1" t="s">
        <v>502</v>
      </c>
      <c r="E10" s="1" t="s">
        <v>434</v>
      </c>
      <c r="F10" s="1" t="s">
        <v>435</v>
      </c>
      <c r="G10" s="1" t="s">
        <v>509</v>
      </c>
      <c r="H10" s="1" t="s">
        <v>506</v>
      </c>
    </row>
    <row r="11" customFormat="false" ht="15" hidden="false" customHeight="true" outlineLevel="0" collapsed="false">
      <c r="A11" s="1" t="s">
        <v>206</v>
      </c>
      <c r="B11" s="1" t="s">
        <v>207</v>
      </c>
      <c r="C11" s="1" t="s">
        <v>453</v>
      </c>
      <c r="D11" s="1" t="s">
        <v>510</v>
      </c>
      <c r="E11" s="1" t="s">
        <v>498</v>
      </c>
      <c r="F11" s="1" t="s">
        <v>511</v>
      </c>
      <c r="G11" s="1" t="s">
        <v>512</v>
      </c>
      <c r="H11" s="1" t="s">
        <v>513</v>
      </c>
    </row>
    <row r="12" customFormat="false" ht="23.25" hidden="false" customHeight="true" outlineLevel="0" collapsed="false">
      <c r="A12" s="1" t="s">
        <v>206</v>
      </c>
      <c r="B12" s="1" t="s">
        <v>207</v>
      </c>
      <c r="C12" s="1" t="s">
        <v>453</v>
      </c>
      <c r="D12" s="1" t="s">
        <v>514</v>
      </c>
      <c r="E12" s="1" t="s">
        <v>463</v>
      </c>
      <c r="F12" s="1" t="s">
        <v>464</v>
      </c>
      <c r="G12" s="1" t="s">
        <v>509</v>
      </c>
      <c r="H12" s="1" t="s">
        <v>515</v>
      </c>
    </row>
    <row r="13" customFormat="false" ht="23.25" hidden="false" customHeight="true" outlineLevel="0" collapsed="false">
      <c r="A13" s="1" t="s">
        <v>206</v>
      </c>
      <c r="B13" s="1" t="s">
        <v>207</v>
      </c>
      <c r="C13" s="1" t="s">
        <v>453</v>
      </c>
      <c r="D13" s="1" t="s">
        <v>514</v>
      </c>
      <c r="E13" s="1" t="s">
        <v>516</v>
      </c>
      <c r="F13" s="1" t="s">
        <v>517</v>
      </c>
      <c r="G13" s="1" t="s">
        <v>518</v>
      </c>
      <c r="H13" s="1" t="s">
        <v>515</v>
      </c>
    </row>
    <row r="14" customFormat="false" ht="23.25" hidden="false" customHeight="true" outlineLevel="0" collapsed="false">
      <c r="A14" s="1" t="s">
        <v>206</v>
      </c>
      <c r="B14" s="1" t="s">
        <v>207</v>
      </c>
      <c r="C14" s="1" t="s">
        <v>453</v>
      </c>
      <c r="D14" s="1" t="s">
        <v>514</v>
      </c>
      <c r="E14" s="1" t="s">
        <v>519</v>
      </c>
      <c r="F14" s="1" t="s">
        <v>520</v>
      </c>
      <c r="G14" s="1" t="s">
        <v>518</v>
      </c>
      <c r="H14" s="1" t="s">
        <v>515</v>
      </c>
    </row>
    <row r="15" customFormat="false" ht="23.25" hidden="false" customHeight="true" outlineLevel="0" collapsed="false">
      <c r="A15" s="1" t="s">
        <v>206</v>
      </c>
      <c r="B15" s="1" t="s">
        <v>207</v>
      </c>
      <c r="C15" s="1" t="s">
        <v>453</v>
      </c>
      <c r="D15" s="1" t="s">
        <v>514</v>
      </c>
      <c r="E15" s="1" t="s">
        <v>521</v>
      </c>
      <c r="F15" s="1" t="s">
        <v>522</v>
      </c>
      <c r="G15" s="1" t="s">
        <v>518</v>
      </c>
      <c r="H15" s="1" t="s">
        <v>515</v>
      </c>
    </row>
    <row r="16" customFormat="false" ht="23.25" hidden="false" customHeight="true" outlineLevel="0" collapsed="false">
      <c r="A16" s="1" t="s">
        <v>206</v>
      </c>
      <c r="B16" s="1" t="s">
        <v>207</v>
      </c>
      <c r="C16" s="1" t="s">
        <v>453</v>
      </c>
      <c r="D16" s="1" t="s">
        <v>514</v>
      </c>
      <c r="E16" s="1" t="s">
        <v>523</v>
      </c>
      <c r="F16" s="1" t="s">
        <v>524</v>
      </c>
      <c r="G16" s="1" t="s">
        <v>518</v>
      </c>
      <c r="H16" s="1" t="s">
        <v>515</v>
      </c>
    </row>
    <row r="17" customFormat="false" ht="23.25" hidden="false" customHeight="true" outlineLevel="0" collapsed="false">
      <c r="A17" s="1" t="s">
        <v>206</v>
      </c>
      <c r="B17" s="1" t="s">
        <v>207</v>
      </c>
      <c r="C17" s="1" t="s">
        <v>453</v>
      </c>
      <c r="D17" s="1" t="s">
        <v>514</v>
      </c>
      <c r="E17" s="1" t="s">
        <v>525</v>
      </c>
      <c r="F17" s="1" t="s">
        <v>526</v>
      </c>
      <c r="G17" s="1" t="s">
        <v>518</v>
      </c>
      <c r="H17" s="1" t="s">
        <v>515</v>
      </c>
    </row>
    <row r="18" customFormat="false" ht="23.25" hidden="false" customHeight="true" outlineLevel="0" collapsed="false">
      <c r="A18" s="1" t="s">
        <v>206</v>
      </c>
      <c r="B18" s="1" t="s">
        <v>207</v>
      </c>
      <c r="C18" s="1" t="s">
        <v>453</v>
      </c>
      <c r="D18" s="1" t="s">
        <v>514</v>
      </c>
      <c r="E18" s="1" t="s">
        <v>527</v>
      </c>
      <c r="F18" s="1" t="s">
        <v>528</v>
      </c>
      <c r="G18" s="1" t="s">
        <v>518</v>
      </c>
      <c r="H18" s="1" t="s">
        <v>515</v>
      </c>
    </row>
    <row r="19" customFormat="false" ht="23.25" hidden="false" customHeight="true" outlineLevel="0" collapsed="false">
      <c r="A19" s="1" t="s">
        <v>206</v>
      </c>
      <c r="B19" s="1" t="s">
        <v>207</v>
      </c>
      <c r="C19" s="1" t="s">
        <v>453</v>
      </c>
      <c r="D19" s="1" t="s">
        <v>514</v>
      </c>
      <c r="E19" s="1" t="s">
        <v>529</v>
      </c>
      <c r="F19" s="1" t="s">
        <v>530</v>
      </c>
      <c r="G19" s="1" t="s">
        <v>518</v>
      </c>
      <c r="H19" s="1" t="s">
        <v>515</v>
      </c>
    </row>
    <row r="20" customFormat="false" ht="23.25" hidden="false" customHeight="true" outlineLevel="0" collapsed="false">
      <c r="A20" s="1" t="s">
        <v>206</v>
      </c>
      <c r="B20" s="1" t="s">
        <v>207</v>
      </c>
      <c r="C20" s="1" t="s">
        <v>453</v>
      </c>
      <c r="D20" s="1" t="s">
        <v>514</v>
      </c>
      <c r="E20" s="1" t="s">
        <v>531</v>
      </c>
      <c r="F20" s="1" t="s">
        <v>532</v>
      </c>
      <c r="G20" s="1" t="s">
        <v>518</v>
      </c>
      <c r="H20" s="1" t="s">
        <v>515</v>
      </c>
    </row>
    <row r="21" customFormat="false" ht="23.25" hidden="false" customHeight="true" outlineLevel="0" collapsed="false">
      <c r="A21" s="1" t="s">
        <v>206</v>
      </c>
      <c r="B21" s="1" t="s">
        <v>207</v>
      </c>
      <c r="C21" s="1" t="s">
        <v>453</v>
      </c>
      <c r="D21" s="1" t="s">
        <v>514</v>
      </c>
      <c r="E21" s="1" t="s">
        <v>533</v>
      </c>
      <c r="F21" s="1" t="s">
        <v>534</v>
      </c>
      <c r="G21" s="1" t="s">
        <v>518</v>
      </c>
      <c r="H21" s="1" t="s">
        <v>515</v>
      </c>
    </row>
    <row r="22" customFormat="false" ht="23.25" hidden="false" customHeight="true" outlineLevel="0" collapsed="false">
      <c r="A22" s="1" t="s">
        <v>206</v>
      </c>
      <c r="B22" s="1" t="s">
        <v>207</v>
      </c>
      <c r="C22" s="1" t="s">
        <v>453</v>
      </c>
      <c r="D22" s="1" t="s">
        <v>514</v>
      </c>
      <c r="E22" s="1" t="s">
        <v>535</v>
      </c>
      <c r="F22" s="1" t="s">
        <v>536</v>
      </c>
      <c r="G22" s="1" t="s">
        <v>518</v>
      </c>
      <c r="H22" s="1" t="s">
        <v>515</v>
      </c>
    </row>
    <row r="23" customFormat="false" ht="23.25" hidden="false" customHeight="true" outlineLevel="0" collapsed="false">
      <c r="A23" s="1" t="s">
        <v>206</v>
      </c>
      <c r="B23" s="1" t="s">
        <v>207</v>
      </c>
      <c r="C23" s="1" t="s">
        <v>453</v>
      </c>
      <c r="D23" s="1" t="s">
        <v>514</v>
      </c>
      <c r="E23" s="1" t="s">
        <v>537</v>
      </c>
      <c r="F23" s="1" t="s">
        <v>538</v>
      </c>
      <c r="G23" s="1" t="s">
        <v>518</v>
      </c>
      <c r="H23" s="1" t="s">
        <v>515</v>
      </c>
    </row>
    <row r="24" customFormat="false" ht="23.25" hidden="false" customHeight="true" outlineLevel="0" collapsed="false">
      <c r="A24" s="1" t="s">
        <v>206</v>
      </c>
      <c r="B24" s="1" t="s">
        <v>207</v>
      </c>
      <c r="C24" s="1" t="s">
        <v>453</v>
      </c>
      <c r="D24" s="1" t="s">
        <v>514</v>
      </c>
      <c r="E24" s="1" t="s">
        <v>539</v>
      </c>
      <c r="F24" s="1" t="s">
        <v>540</v>
      </c>
      <c r="G24" s="1" t="s">
        <v>518</v>
      </c>
      <c r="H24" s="1" t="s">
        <v>515</v>
      </c>
    </row>
    <row r="25" customFormat="false" ht="23.25" hidden="false" customHeight="true" outlineLevel="0" collapsed="false">
      <c r="A25" s="1" t="s">
        <v>206</v>
      </c>
      <c r="B25" s="1" t="s">
        <v>207</v>
      </c>
      <c r="C25" s="1" t="s">
        <v>453</v>
      </c>
      <c r="D25" s="1" t="s">
        <v>514</v>
      </c>
      <c r="E25" s="1" t="s">
        <v>541</v>
      </c>
      <c r="F25" s="1" t="s">
        <v>542</v>
      </c>
      <c r="G25" s="1" t="s">
        <v>518</v>
      </c>
      <c r="H25" s="1" t="s">
        <v>515</v>
      </c>
    </row>
    <row r="26" customFormat="false" ht="23.25" hidden="false" customHeight="true" outlineLevel="0" collapsed="false">
      <c r="A26" s="1" t="s">
        <v>206</v>
      </c>
      <c r="B26" s="1" t="s">
        <v>207</v>
      </c>
      <c r="C26" s="1" t="s">
        <v>453</v>
      </c>
      <c r="D26" s="1" t="s">
        <v>514</v>
      </c>
      <c r="E26" s="1" t="s">
        <v>543</v>
      </c>
      <c r="F26" s="1" t="s">
        <v>544</v>
      </c>
      <c r="G26" s="1" t="s">
        <v>518</v>
      </c>
      <c r="H26" s="1" t="s">
        <v>515</v>
      </c>
    </row>
    <row r="27" customFormat="false" ht="23.25" hidden="false" customHeight="true" outlineLevel="0" collapsed="false">
      <c r="A27" s="1" t="s">
        <v>206</v>
      </c>
      <c r="B27" s="1" t="s">
        <v>207</v>
      </c>
      <c r="C27" s="1" t="s">
        <v>453</v>
      </c>
      <c r="D27" s="1" t="s">
        <v>514</v>
      </c>
      <c r="E27" s="1" t="s">
        <v>545</v>
      </c>
      <c r="F27" s="1" t="s">
        <v>546</v>
      </c>
      <c r="G27" s="1" t="s">
        <v>518</v>
      </c>
      <c r="H27" s="1" t="s">
        <v>515</v>
      </c>
    </row>
    <row r="28" customFormat="false" ht="23.25" hidden="false" customHeight="true" outlineLevel="0" collapsed="false">
      <c r="A28" s="1" t="s">
        <v>206</v>
      </c>
      <c r="B28" s="1" t="s">
        <v>207</v>
      </c>
      <c r="C28" s="1" t="s">
        <v>453</v>
      </c>
      <c r="D28" s="1" t="s">
        <v>514</v>
      </c>
      <c r="E28" s="1" t="s">
        <v>547</v>
      </c>
      <c r="F28" s="1" t="s">
        <v>548</v>
      </c>
      <c r="G28" s="1" t="s">
        <v>518</v>
      </c>
      <c r="H28" s="1" t="s">
        <v>515</v>
      </c>
    </row>
    <row r="29" customFormat="false" ht="23.25" hidden="false" customHeight="true" outlineLevel="0" collapsed="false">
      <c r="A29" s="1" t="s">
        <v>206</v>
      </c>
      <c r="B29" s="1" t="s">
        <v>207</v>
      </c>
      <c r="C29" s="1" t="s">
        <v>453</v>
      </c>
      <c r="D29" s="1" t="s">
        <v>514</v>
      </c>
      <c r="E29" s="1" t="s">
        <v>549</v>
      </c>
      <c r="F29" s="1" t="s">
        <v>550</v>
      </c>
      <c r="G29" s="1" t="s">
        <v>518</v>
      </c>
      <c r="H29" s="1" t="s">
        <v>515</v>
      </c>
    </row>
    <row r="30" customFormat="false" ht="23.25" hidden="false" customHeight="true" outlineLevel="0" collapsed="false">
      <c r="A30" s="1" t="s">
        <v>206</v>
      </c>
      <c r="B30" s="1" t="s">
        <v>207</v>
      </c>
      <c r="C30" s="1" t="s">
        <v>453</v>
      </c>
      <c r="D30" s="1" t="s">
        <v>514</v>
      </c>
      <c r="E30" s="1" t="s">
        <v>551</v>
      </c>
      <c r="F30" s="1" t="s">
        <v>552</v>
      </c>
      <c r="G30" s="1" t="s">
        <v>518</v>
      </c>
      <c r="H30" s="1" t="s">
        <v>515</v>
      </c>
    </row>
    <row r="31" customFormat="false" ht="23.25" hidden="false" customHeight="true" outlineLevel="0" collapsed="false">
      <c r="A31" s="1" t="s">
        <v>206</v>
      </c>
      <c r="B31" s="1" t="s">
        <v>207</v>
      </c>
      <c r="C31" s="1" t="s">
        <v>453</v>
      </c>
      <c r="D31" s="1" t="s">
        <v>514</v>
      </c>
      <c r="E31" s="1" t="s">
        <v>553</v>
      </c>
      <c r="F31" s="1" t="s">
        <v>554</v>
      </c>
      <c r="G31" s="1" t="s">
        <v>518</v>
      </c>
      <c r="H31" s="1" t="s">
        <v>515</v>
      </c>
    </row>
    <row r="32" customFormat="false" ht="23.25" hidden="false" customHeight="true" outlineLevel="0" collapsed="false">
      <c r="A32" s="1" t="s">
        <v>206</v>
      </c>
      <c r="B32" s="1" t="s">
        <v>207</v>
      </c>
      <c r="C32" s="1" t="s">
        <v>453</v>
      </c>
      <c r="D32" s="1" t="s">
        <v>514</v>
      </c>
      <c r="E32" s="1" t="s">
        <v>555</v>
      </c>
      <c r="F32" s="1" t="s">
        <v>556</v>
      </c>
      <c r="G32" s="1" t="s">
        <v>518</v>
      </c>
      <c r="H32" s="1" t="s">
        <v>515</v>
      </c>
    </row>
    <row r="33" customFormat="false" ht="23.25" hidden="false" customHeight="true" outlineLevel="0" collapsed="false">
      <c r="A33" s="1" t="s">
        <v>206</v>
      </c>
      <c r="B33" s="1" t="s">
        <v>207</v>
      </c>
      <c r="C33" s="1" t="s">
        <v>453</v>
      </c>
      <c r="D33" s="1" t="s">
        <v>514</v>
      </c>
      <c r="E33" s="1" t="s">
        <v>557</v>
      </c>
      <c r="F33" s="1" t="s">
        <v>558</v>
      </c>
      <c r="G33" s="1" t="s">
        <v>518</v>
      </c>
      <c r="H33" s="1" t="s">
        <v>515</v>
      </c>
    </row>
    <row r="34" customFormat="false" ht="23.25" hidden="false" customHeight="true" outlineLevel="0" collapsed="false">
      <c r="A34" s="1" t="s">
        <v>206</v>
      </c>
      <c r="B34" s="1" t="s">
        <v>207</v>
      </c>
      <c r="C34" s="1" t="s">
        <v>453</v>
      </c>
      <c r="D34" s="1" t="s">
        <v>514</v>
      </c>
      <c r="E34" s="1" t="s">
        <v>559</v>
      </c>
      <c r="F34" s="1" t="s">
        <v>560</v>
      </c>
      <c r="G34" s="1" t="s">
        <v>518</v>
      </c>
      <c r="H34" s="1" t="s">
        <v>515</v>
      </c>
    </row>
    <row r="35" customFormat="false" ht="23.25" hidden="false" customHeight="true" outlineLevel="0" collapsed="false">
      <c r="A35" s="1" t="s">
        <v>206</v>
      </c>
      <c r="B35" s="1" t="s">
        <v>207</v>
      </c>
      <c r="C35" s="1" t="s">
        <v>453</v>
      </c>
      <c r="D35" s="1" t="s">
        <v>514</v>
      </c>
      <c r="E35" s="1" t="s">
        <v>561</v>
      </c>
      <c r="F35" s="1" t="s">
        <v>562</v>
      </c>
      <c r="G35" s="1" t="s">
        <v>518</v>
      </c>
      <c r="H35" s="1" t="s">
        <v>515</v>
      </c>
    </row>
    <row r="36" customFormat="false" ht="23.25" hidden="false" customHeight="true" outlineLevel="0" collapsed="false">
      <c r="A36" s="1" t="s">
        <v>206</v>
      </c>
      <c r="B36" s="1" t="s">
        <v>207</v>
      </c>
      <c r="C36" s="1" t="s">
        <v>453</v>
      </c>
      <c r="D36" s="1" t="s">
        <v>514</v>
      </c>
      <c r="E36" s="1" t="s">
        <v>563</v>
      </c>
      <c r="F36" s="1" t="s">
        <v>564</v>
      </c>
      <c r="G36" s="1" t="s">
        <v>518</v>
      </c>
      <c r="H36" s="1" t="s">
        <v>515</v>
      </c>
    </row>
    <row r="37" customFormat="false" ht="23.25" hidden="false" customHeight="true" outlineLevel="0" collapsed="false">
      <c r="A37" s="1" t="s">
        <v>206</v>
      </c>
      <c r="B37" s="1" t="s">
        <v>207</v>
      </c>
      <c r="C37" s="1" t="s">
        <v>453</v>
      </c>
      <c r="D37" s="1" t="s">
        <v>514</v>
      </c>
      <c r="E37" s="1" t="s">
        <v>565</v>
      </c>
      <c r="F37" s="1" t="s">
        <v>566</v>
      </c>
      <c r="G37" s="1" t="s">
        <v>518</v>
      </c>
      <c r="H37" s="1" t="s">
        <v>515</v>
      </c>
    </row>
    <row r="38" customFormat="false" ht="23.25" hidden="false" customHeight="true" outlineLevel="0" collapsed="false">
      <c r="A38" s="1" t="s">
        <v>206</v>
      </c>
      <c r="B38" s="1" t="s">
        <v>207</v>
      </c>
      <c r="C38" s="1" t="s">
        <v>453</v>
      </c>
      <c r="D38" s="1" t="s">
        <v>514</v>
      </c>
      <c r="E38" s="1" t="s">
        <v>567</v>
      </c>
      <c r="F38" s="1" t="s">
        <v>568</v>
      </c>
      <c r="G38" s="1" t="s">
        <v>518</v>
      </c>
      <c r="H38" s="1" t="s">
        <v>515</v>
      </c>
    </row>
    <row r="39" customFormat="false" ht="23.25" hidden="false" customHeight="true" outlineLevel="0" collapsed="false">
      <c r="A39" s="1" t="s">
        <v>206</v>
      </c>
      <c r="B39" s="1" t="s">
        <v>207</v>
      </c>
      <c r="C39" s="1" t="s">
        <v>453</v>
      </c>
      <c r="D39" s="1" t="s">
        <v>514</v>
      </c>
      <c r="E39" s="1" t="s">
        <v>569</v>
      </c>
      <c r="F39" s="1" t="s">
        <v>570</v>
      </c>
      <c r="G39" s="1" t="s">
        <v>518</v>
      </c>
      <c r="H39" s="1" t="s">
        <v>515</v>
      </c>
    </row>
    <row r="40" customFormat="false" ht="23.25" hidden="false" customHeight="true" outlineLevel="0" collapsed="false">
      <c r="A40" s="1" t="s">
        <v>206</v>
      </c>
      <c r="B40" s="1" t="s">
        <v>207</v>
      </c>
      <c r="C40" s="1" t="s">
        <v>453</v>
      </c>
      <c r="D40" s="1" t="s">
        <v>514</v>
      </c>
      <c r="E40" s="1" t="s">
        <v>571</v>
      </c>
      <c r="F40" s="1" t="s">
        <v>572</v>
      </c>
      <c r="G40" s="1" t="s">
        <v>518</v>
      </c>
      <c r="H40" s="1" t="s">
        <v>515</v>
      </c>
    </row>
    <row r="41" customFormat="false" ht="23.25" hidden="false" customHeight="true" outlineLevel="0" collapsed="false">
      <c r="A41" s="1" t="s">
        <v>206</v>
      </c>
      <c r="B41" s="1" t="s">
        <v>207</v>
      </c>
      <c r="C41" s="1" t="s">
        <v>453</v>
      </c>
      <c r="D41" s="1" t="s">
        <v>514</v>
      </c>
      <c r="E41" s="1" t="s">
        <v>573</v>
      </c>
      <c r="F41" s="1" t="s">
        <v>574</v>
      </c>
      <c r="G41" s="1" t="s">
        <v>518</v>
      </c>
      <c r="H41" s="1" t="s">
        <v>515</v>
      </c>
    </row>
    <row r="42" customFormat="false" ht="23.25" hidden="false" customHeight="true" outlineLevel="0" collapsed="false">
      <c r="A42" s="1" t="s">
        <v>206</v>
      </c>
      <c r="B42" s="1" t="s">
        <v>207</v>
      </c>
      <c r="C42" s="1" t="s">
        <v>453</v>
      </c>
      <c r="D42" s="1" t="s">
        <v>514</v>
      </c>
      <c r="E42" s="1" t="s">
        <v>575</v>
      </c>
      <c r="F42" s="1" t="s">
        <v>576</v>
      </c>
      <c r="G42" s="1" t="s">
        <v>518</v>
      </c>
      <c r="H42" s="1" t="s">
        <v>515</v>
      </c>
    </row>
    <row r="43" customFormat="false" ht="23.25" hidden="false" customHeight="true" outlineLevel="0" collapsed="false">
      <c r="A43" s="1" t="s">
        <v>206</v>
      </c>
      <c r="B43" s="1" t="s">
        <v>207</v>
      </c>
      <c r="C43" s="1" t="s">
        <v>453</v>
      </c>
      <c r="D43" s="1" t="s">
        <v>514</v>
      </c>
      <c r="E43" s="1" t="s">
        <v>577</v>
      </c>
      <c r="F43" s="1" t="s">
        <v>578</v>
      </c>
      <c r="G43" s="1" t="s">
        <v>518</v>
      </c>
      <c r="H43" s="1" t="s">
        <v>515</v>
      </c>
    </row>
    <row r="44" customFormat="false" ht="23.25" hidden="false" customHeight="true" outlineLevel="0" collapsed="false">
      <c r="A44" s="1" t="s">
        <v>206</v>
      </c>
      <c r="B44" s="1" t="s">
        <v>207</v>
      </c>
      <c r="C44" s="1" t="s">
        <v>453</v>
      </c>
      <c r="D44" s="1" t="s">
        <v>514</v>
      </c>
      <c r="E44" s="1" t="s">
        <v>579</v>
      </c>
      <c r="F44" s="1" t="s">
        <v>580</v>
      </c>
      <c r="G44" s="1" t="s">
        <v>518</v>
      </c>
      <c r="H44" s="1" t="s">
        <v>515</v>
      </c>
    </row>
    <row r="45" customFormat="false" ht="23.25" hidden="false" customHeight="true" outlineLevel="0" collapsed="false">
      <c r="A45" s="1" t="s">
        <v>206</v>
      </c>
      <c r="B45" s="1" t="s">
        <v>207</v>
      </c>
      <c r="C45" s="1" t="s">
        <v>453</v>
      </c>
      <c r="D45" s="1" t="s">
        <v>514</v>
      </c>
      <c r="E45" s="1" t="s">
        <v>581</v>
      </c>
      <c r="F45" s="1" t="s">
        <v>582</v>
      </c>
      <c r="G45" s="1" t="s">
        <v>518</v>
      </c>
      <c r="H45" s="1" t="s">
        <v>515</v>
      </c>
    </row>
    <row r="46" customFormat="false" ht="23.25" hidden="false" customHeight="true" outlineLevel="0" collapsed="false">
      <c r="A46" s="1" t="s">
        <v>206</v>
      </c>
      <c r="B46" s="1" t="s">
        <v>207</v>
      </c>
      <c r="C46" s="1" t="s">
        <v>453</v>
      </c>
      <c r="D46" s="1" t="s">
        <v>514</v>
      </c>
      <c r="E46" s="1" t="s">
        <v>583</v>
      </c>
      <c r="F46" s="1" t="s">
        <v>584</v>
      </c>
      <c r="G46" s="1" t="s">
        <v>518</v>
      </c>
      <c r="H46" s="1" t="s">
        <v>515</v>
      </c>
    </row>
    <row r="47" customFormat="false" ht="23.25" hidden="false" customHeight="true" outlineLevel="0" collapsed="false">
      <c r="A47" s="1" t="s">
        <v>206</v>
      </c>
      <c r="B47" s="1" t="s">
        <v>207</v>
      </c>
      <c r="C47" s="1" t="s">
        <v>453</v>
      </c>
      <c r="D47" s="1" t="s">
        <v>514</v>
      </c>
      <c r="E47" s="1" t="s">
        <v>585</v>
      </c>
      <c r="F47" s="1" t="s">
        <v>586</v>
      </c>
      <c r="G47" s="1" t="s">
        <v>518</v>
      </c>
      <c r="H47" s="1" t="s">
        <v>515</v>
      </c>
    </row>
    <row r="48" customFormat="false" ht="23.25" hidden="false" customHeight="true" outlineLevel="0" collapsed="false">
      <c r="A48" s="1" t="s">
        <v>206</v>
      </c>
      <c r="B48" s="1" t="s">
        <v>207</v>
      </c>
      <c r="C48" s="1" t="s">
        <v>453</v>
      </c>
      <c r="D48" s="1" t="s">
        <v>514</v>
      </c>
      <c r="E48" s="1" t="s">
        <v>587</v>
      </c>
      <c r="F48" s="1" t="s">
        <v>588</v>
      </c>
      <c r="G48" s="1" t="s">
        <v>518</v>
      </c>
      <c r="H48" s="1" t="s">
        <v>515</v>
      </c>
    </row>
    <row r="49" customFormat="false" ht="23.25" hidden="false" customHeight="true" outlineLevel="0" collapsed="false">
      <c r="A49" s="1" t="s">
        <v>206</v>
      </c>
      <c r="B49" s="1" t="s">
        <v>207</v>
      </c>
      <c r="C49" s="1" t="s">
        <v>453</v>
      </c>
      <c r="D49" s="1" t="s">
        <v>514</v>
      </c>
      <c r="E49" s="1" t="s">
        <v>589</v>
      </c>
      <c r="F49" s="1" t="s">
        <v>590</v>
      </c>
      <c r="G49" s="1" t="s">
        <v>518</v>
      </c>
      <c r="H49" s="1" t="s">
        <v>515</v>
      </c>
    </row>
    <row r="50" customFormat="false" ht="23.25" hidden="false" customHeight="true" outlineLevel="0" collapsed="false">
      <c r="A50" s="1" t="s">
        <v>206</v>
      </c>
      <c r="B50" s="1" t="s">
        <v>207</v>
      </c>
      <c r="C50" s="1" t="s">
        <v>453</v>
      </c>
      <c r="D50" s="1" t="s">
        <v>514</v>
      </c>
      <c r="E50" s="1" t="s">
        <v>591</v>
      </c>
      <c r="F50" s="1" t="s">
        <v>592</v>
      </c>
      <c r="G50" s="1" t="s">
        <v>518</v>
      </c>
      <c r="H50" s="1" t="s">
        <v>515</v>
      </c>
    </row>
    <row r="51" customFormat="false" ht="23.25" hidden="false" customHeight="true" outlineLevel="0" collapsed="false">
      <c r="A51" s="1" t="s">
        <v>206</v>
      </c>
      <c r="B51" s="1" t="s">
        <v>207</v>
      </c>
      <c r="C51" s="1" t="s">
        <v>453</v>
      </c>
      <c r="D51" s="1" t="s">
        <v>514</v>
      </c>
      <c r="E51" s="1" t="s">
        <v>593</v>
      </c>
      <c r="F51" s="1" t="s">
        <v>594</v>
      </c>
      <c r="G51" s="1" t="s">
        <v>518</v>
      </c>
      <c r="H51" s="1" t="s">
        <v>515</v>
      </c>
    </row>
    <row r="52" customFormat="false" ht="23.25" hidden="false" customHeight="true" outlineLevel="0" collapsed="false">
      <c r="A52" s="1" t="s">
        <v>206</v>
      </c>
      <c r="B52" s="1" t="s">
        <v>207</v>
      </c>
      <c r="C52" s="1" t="s">
        <v>453</v>
      </c>
      <c r="D52" s="1" t="s">
        <v>514</v>
      </c>
      <c r="E52" s="1" t="s">
        <v>595</v>
      </c>
      <c r="F52" s="1" t="s">
        <v>596</v>
      </c>
      <c r="G52" s="1" t="s">
        <v>518</v>
      </c>
      <c r="H52" s="1" t="s">
        <v>515</v>
      </c>
    </row>
    <row r="53" customFormat="false" ht="23.25" hidden="false" customHeight="true" outlineLevel="0" collapsed="false">
      <c r="A53" s="1" t="s">
        <v>206</v>
      </c>
      <c r="B53" s="1" t="s">
        <v>207</v>
      </c>
      <c r="C53" s="1" t="s">
        <v>453</v>
      </c>
      <c r="D53" s="1" t="s">
        <v>514</v>
      </c>
      <c r="E53" s="1" t="s">
        <v>597</v>
      </c>
      <c r="F53" s="1" t="s">
        <v>598</v>
      </c>
      <c r="G53" s="1" t="s">
        <v>518</v>
      </c>
      <c r="H53" s="1" t="s">
        <v>515</v>
      </c>
    </row>
    <row r="54" customFormat="false" ht="23.25" hidden="false" customHeight="true" outlineLevel="0" collapsed="false">
      <c r="A54" s="1" t="s">
        <v>206</v>
      </c>
      <c r="B54" s="1" t="s">
        <v>207</v>
      </c>
      <c r="C54" s="1" t="s">
        <v>453</v>
      </c>
      <c r="D54" s="1" t="s">
        <v>514</v>
      </c>
      <c r="E54" s="1" t="s">
        <v>599</v>
      </c>
      <c r="F54" s="1" t="s">
        <v>600</v>
      </c>
      <c r="G54" s="1" t="s">
        <v>518</v>
      </c>
      <c r="H54" s="1" t="s">
        <v>515</v>
      </c>
    </row>
    <row r="55" customFormat="false" ht="23.25" hidden="false" customHeight="true" outlineLevel="0" collapsed="false">
      <c r="A55" s="1" t="s">
        <v>206</v>
      </c>
      <c r="B55" s="1" t="s">
        <v>207</v>
      </c>
      <c r="C55" s="1" t="s">
        <v>453</v>
      </c>
      <c r="D55" s="1" t="s">
        <v>514</v>
      </c>
      <c r="E55" s="1" t="s">
        <v>601</v>
      </c>
      <c r="F55" s="1" t="s">
        <v>602</v>
      </c>
      <c r="G55" s="1" t="s">
        <v>518</v>
      </c>
      <c r="H55" s="1" t="s">
        <v>515</v>
      </c>
    </row>
    <row r="56" customFormat="false" ht="23.25" hidden="false" customHeight="true" outlineLevel="0" collapsed="false">
      <c r="A56" s="1" t="s">
        <v>206</v>
      </c>
      <c r="B56" s="1" t="s">
        <v>207</v>
      </c>
      <c r="C56" s="1" t="s">
        <v>453</v>
      </c>
      <c r="D56" s="1" t="s">
        <v>514</v>
      </c>
      <c r="E56" s="1" t="s">
        <v>603</v>
      </c>
      <c r="F56" s="1" t="s">
        <v>604</v>
      </c>
      <c r="G56" s="1" t="s">
        <v>518</v>
      </c>
      <c r="H56" s="1" t="s">
        <v>515</v>
      </c>
    </row>
    <row r="57" customFormat="false" ht="23.25" hidden="false" customHeight="true" outlineLevel="0" collapsed="false">
      <c r="A57" s="1" t="s">
        <v>206</v>
      </c>
      <c r="B57" s="1" t="s">
        <v>207</v>
      </c>
      <c r="C57" s="1" t="s">
        <v>453</v>
      </c>
      <c r="D57" s="1" t="s">
        <v>514</v>
      </c>
      <c r="E57" s="1" t="s">
        <v>605</v>
      </c>
      <c r="F57" s="1" t="s">
        <v>606</v>
      </c>
      <c r="G57" s="1" t="s">
        <v>518</v>
      </c>
      <c r="H57" s="1" t="s">
        <v>515</v>
      </c>
    </row>
    <row r="58" customFormat="false" ht="23.25" hidden="false" customHeight="true" outlineLevel="0" collapsed="false">
      <c r="A58" s="1" t="s">
        <v>206</v>
      </c>
      <c r="B58" s="1" t="s">
        <v>207</v>
      </c>
      <c r="C58" s="1" t="s">
        <v>453</v>
      </c>
      <c r="D58" s="1" t="s">
        <v>514</v>
      </c>
      <c r="E58" s="1" t="s">
        <v>607</v>
      </c>
      <c r="F58" s="1" t="s">
        <v>608</v>
      </c>
      <c r="G58" s="1" t="s">
        <v>518</v>
      </c>
      <c r="H58" s="1" t="s">
        <v>515</v>
      </c>
    </row>
    <row r="59" customFormat="false" ht="23.25" hidden="false" customHeight="true" outlineLevel="0" collapsed="false">
      <c r="A59" s="1" t="s">
        <v>206</v>
      </c>
      <c r="B59" s="1" t="s">
        <v>207</v>
      </c>
      <c r="C59" s="1" t="s">
        <v>453</v>
      </c>
      <c r="D59" s="1" t="s">
        <v>514</v>
      </c>
      <c r="E59" s="1" t="s">
        <v>609</v>
      </c>
      <c r="F59" s="1" t="s">
        <v>610</v>
      </c>
      <c r="G59" s="1" t="s">
        <v>518</v>
      </c>
      <c r="H59" s="1" t="s">
        <v>515</v>
      </c>
    </row>
    <row r="60" customFormat="false" ht="23.25" hidden="false" customHeight="true" outlineLevel="0" collapsed="false">
      <c r="A60" s="1" t="s">
        <v>206</v>
      </c>
      <c r="B60" s="1" t="s">
        <v>207</v>
      </c>
      <c r="C60" s="1" t="s">
        <v>453</v>
      </c>
      <c r="D60" s="1" t="s">
        <v>514</v>
      </c>
      <c r="E60" s="1" t="s">
        <v>611</v>
      </c>
      <c r="F60" s="1" t="s">
        <v>612</v>
      </c>
      <c r="G60" s="1" t="s">
        <v>518</v>
      </c>
      <c r="H60" s="1" t="s">
        <v>515</v>
      </c>
    </row>
    <row r="61" customFormat="false" ht="23.25" hidden="false" customHeight="true" outlineLevel="0" collapsed="false">
      <c r="A61" s="1" t="s">
        <v>206</v>
      </c>
      <c r="B61" s="1" t="s">
        <v>207</v>
      </c>
      <c r="C61" s="1" t="s">
        <v>453</v>
      </c>
      <c r="D61" s="1" t="s">
        <v>514</v>
      </c>
      <c r="E61" s="1" t="s">
        <v>613</v>
      </c>
      <c r="F61" s="1" t="s">
        <v>614</v>
      </c>
      <c r="G61" s="1" t="s">
        <v>518</v>
      </c>
      <c r="H61" s="1" t="s">
        <v>515</v>
      </c>
    </row>
    <row r="62" customFormat="false" ht="23.25" hidden="false" customHeight="true" outlineLevel="0" collapsed="false">
      <c r="A62" s="1" t="s">
        <v>206</v>
      </c>
      <c r="B62" s="1" t="s">
        <v>207</v>
      </c>
      <c r="C62" s="1" t="s">
        <v>453</v>
      </c>
      <c r="D62" s="1" t="s">
        <v>514</v>
      </c>
      <c r="E62" s="1" t="s">
        <v>615</v>
      </c>
      <c r="F62" s="1" t="s">
        <v>616</v>
      </c>
      <c r="G62" s="1" t="s">
        <v>518</v>
      </c>
      <c r="H62" s="1" t="s">
        <v>515</v>
      </c>
    </row>
    <row r="63" customFormat="false" ht="23.25" hidden="false" customHeight="true" outlineLevel="0" collapsed="false">
      <c r="A63" s="1" t="s">
        <v>206</v>
      </c>
      <c r="B63" s="1" t="s">
        <v>207</v>
      </c>
      <c r="C63" s="1" t="s">
        <v>453</v>
      </c>
      <c r="D63" s="1" t="s">
        <v>514</v>
      </c>
      <c r="E63" s="1" t="s">
        <v>617</v>
      </c>
      <c r="F63" s="1" t="s">
        <v>618</v>
      </c>
      <c r="G63" s="1" t="s">
        <v>518</v>
      </c>
      <c r="H63" s="1" t="s">
        <v>515</v>
      </c>
    </row>
    <row r="64" customFormat="false" ht="23.25" hidden="false" customHeight="true" outlineLevel="0" collapsed="false">
      <c r="A64" s="1" t="s">
        <v>206</v>
      </c>
      <c r="B64" s="1" t="s">
        <v>207</v>
      </c>
      <c r="C64" s="1" t="s">
        <v>453</v>
      </c>
      <c r="D64" s="1" t="s">
        <v>514</v>
      </c>
      <c r="E64" s="1" t="s">
        <v>619</v>
      </c>
      <c r="F64" s="1" t="s">
        <v>620</v>
      </c>
      <c r="G64" s="1" t="s">
        <v>518</v>
      </c>
      <c r="H64" s="1" t="s">
        <v>515</v>
      </c>
    </row>
    <row r="65" customFormat="false" ht="23.25" hidden="false" customHeight="true" outlineLevel="0" collapsed="false">
      <c r="A65" s="1" t="s">
        <v>206</v>
      </c>
      <c r="B65" s="1" t="s">
        <v>207</v>
      </c>
      <c r="C65" s="1" t="s">
        <v>453</v>
      </c>
      <c r="D65" s="1" t="s">
        <v>514</v>
      </c>
      <c r="E65" s="1" t="s">
        <v>621</v>
      </c>
      <c r="F65" s="1" t="s">
        <v>622</v>
      </c>
      <c r="G65" s="1" t="s">
        <v>518</v>
      </c>
      <c r="H65" s="1" t="s">
        <v>515</v>
      </c>
    </row>
    <row r="66" customFormat="false" ht="23.25" hidden="false" customHeight="true" outlineLevel="0" collapsed="false">
      <c r="A66" s="1" t="s">
        <v>206</v>
      </c>
      <c r="B66" s="1" t="s">
        <v>207</v>
      </c>
      <c r="C66" s="1" t="s">
        <v>453</v>
      </c>
      <c r="D66" s="1" t="s">
        <v>514</v>
      </c>
      <c r="E66" s="1" t="s">
        <v>623</v>
      </c>
      <c r="F66" s="1" t="s">
        <v>624</v>
      </c>
      <c r="G66" s="1" t="s">
        <v>518</v>
      </c>
      <c r="H66" s="1" t="s">
        <v>515</v>
      </c>
    </row>
    <row r="67" customFormat="false" ht="23.25" hidden="false" customHeight="true" outlineLevel="0" collapsed="false">
      <c r="A67" s="1" t="s">
        <v>206</v>
      </c>
      <c r="B67" s="1" t="s">
        <v>207</v>
      </c>
      <c r="C67" s="1" t="s">
        <v>453</v>
      </c>
      <c r="D67" s="1" t="s">
        <v>514</v>
      </c>
      <c r="E67" s="1" t="s">
        <v>625</v>
      </c>
      <c r="F67" s="1" t="s">
        <v>626</v>
      </c>
      <c r="G67" s="1" t="s">
        <v>518</v>
      </c>
      <c r="H67" s="1" t="s">
        <v>515</v>
      </c>
    </row>
    <row r="68" customFormat="false" ht="23.25" hidden="false" customHeight="true" outlineLevel="0" collapsed="false">
      <c r="A68" s="1" t="s">
        <v>206</v>
      </c>
      <c r="B68" s="1" t="s">
        <v>207</v>
      </c>
      <c r="C68" s="1" t="s">
        <v>453</v>
      </c>
      <c r="D68" s="1" t="s">
        <v>514</v>
      </c>
      <c r="E68" s="1" t="s">
        <v>458</v>
      </c>
      <c r="F68" s="1" t="s">
        <v>627</v>
      </c>
      <c r="G68" s="1" t="s">
        <v>509</v>
      </c>
      <c r="H68" s="1" t="s">
        <v>515</v>
      </c>
    </row>
    <row r="69" customFormat="false" ht="23.25" hidden="false" customHeight="true" outlineLevel="0" collapsed="false">
      <c r="A69" s="1" t="s">
        <v>206</v>
      </c>
      <c r="B69" s="1" t="s">
        <v>207</v>
      </c>
      <c r="C69" s="1" t="s">
        <v>453</v>
      </c>
      <c r="D69" s="1" t="s">
        <v>514</v>
      </c>
      <c r="E69" s="1" t="s">
        <v>628</v>
      </c>
      <c r="F69" s="1" t="s">
        <v>629</v>
      </c>
      <c r="G69" s="1" t="s">
        <v>518</v>
      </c>
      <c r="H69" s="1" t="s">
        <v>515</v>
      </c>
    </row>
    <row r="70" customFormat="false" ht="23.25" hidden="false" customHeight="true" outlineLevel="0" collapsed="false">
      <c r="A70" s="1" t="s">
        <v>206</v>
      </c>
      <c r="B70" s="1" t="s">
        <v>207</v>
      </c>
      <c r="C70" s="1" t="s">
        <v>453</v>
      </c>
      <c r="D70" s="1" t="s">
        <v>514</v>
      </c>
      <c r="E70" s="1" t="s">
        <v>630</v>
      </c>
      <c r="F70" s="1" t="s">
        <v>631</v>
      </c>
      <c r="G70" s="1" t="s">
        <v>518</v>
      </c>
      <c r="H70" s="1" t="s">
        <v>515</v>
      </c>
    </row>
    <row r="71" customFormat="false" ht="23.25" hidden="false" customHeight="true" outlineLevel="0" collapsed="false">
      <c r="A71" s="1" t="s">
        <v>206</v>
      </c>
      <c r="B71" s="1" t="s">
        <v>207</v>
      </c>
      <c r="C71" s="1" t="s">
        <v>453</v>
      </c>
      <c r="D71" s="1" t="s">
        <v>514</v>
      </c>
      <c r="E71" s="1" t="s">
        <v>632</v>
      </c>
      <c r="F71" s="1" t="s">
        <v>633</v>
      </c>
      <c r="G71" s="1" t="s">
        <v>518</v>
      </c>
      <c r="H71" s="1" t="s">
        <v>515</v>
      </c>
    </row>
    <row r="72" customFormat="false" ht="23.25" hidden="false" customHeight="true" outlineLevel="0" collapsed="false">
      <c r="A72" s="1" t="s">
        <v>206</v>
      </c>
      <c r="B72" s="1" t="s">
        <v>207</v>
      </c>
      <c r="C72" s="1" t="s">
        <v>453</v>
      </c>
      <c r="D72" s="1" t="s">
        <v>514</v>
      </c>
      <c r="E72" s="1" t="s">
        <v>634</v>
      </c>
      <c r="F72" s="1" t="s">
        <v>635</v>
      </c>
      <c r="G72" s="1" t="s">
        <v>518</v>
      </c>
      <c r="H72" s="1" t="s">
        <v>515</v>
      </c>
    </row>
    <row r="73" customFormat="false" ht="23.25" hidden="false" customHeight="true" outlineLevel="0" collapsed="false">
      <c r="A73" s="1" t="s">
        <v>206</v>
      </c>
      <c r="B73" s="1" t="s">
        <v>207</v>
      </c>
      <c r="C73" s="1" t="s">
        <v>453</v>
      </c>
      <c r="D73" s="1" t="s">
        <v>514</v>
      </c>
      <c r="E73" s="1" t="s">
        <v>636</v>
      </c>
      <c r="F73" s="1" t="s">
        <v>637</v>
      </c>
      <c r="G73" s="1" t="s">
        <v>518</v>
      </c>
      <c r="H73" s="1" t="s">
        <v>515</v>
      </c>
    </row>
    <row r="74" customFormat="false" ht="23.25" hidden="false" customHeight="true" outlineLevel="0" collapsed="false">
      <c r="A74" s="1" t="s">
        <v>206</v>
      </c>
      <c r="B74" s="1" t="s">
        <v>207</v>
      </c>
      <c r="C74" s="1" t="s">
        <v>453</v>
      </c>
      <c r="D74" s="1" t="s">
        <v>514</v>
      </c>
      <c r="E74" s="1" t="s">
        <v>638</v>
      </c>
      <c r="F74" s="1" t="s">
        <v>639</v>
      </c>
      <c r="G74" s="1" t="s">
        <v>518</v>
      </c>
      <c r="H74" s="1" t="s">
        <v>515</v>
      </c>
    </row>
    <row r="75" customFormat="false" ht="23.25" hidden="false" customHeight="true" outlineLevel="0" collapsed="false">
      <c r="A75" s="1" t="s">
        <v>206</v>
      </c>
      <c r="B75" s="1" t="s">
        <v>207</v>
      </c>
      <c r="C75" s="1" t="s">
        <v>453</v>
      </c>
      <c r="D75" s="1" t="s">
        <v>514</v>
      </c>
      <c r="E75" s="1" t="s">
        <v>640</v>
      </c>
      <c r="F75" s="1" t="s">
        <v>641</v>
      </c>
      <c r="G75" s="1" t="s">
        <v>518</v>
      </c>
      <c r="H75" s="1" t="s">
        <v>515</v>
      </c>
    </row>
    <row r="76" customFormat="false" ht="23.25" hidden="false" customHeight="true" outlineLevel="0" collapsed="false">
      <c r="A76" s="1" t="s">
        <v>206</v>
      </c>
      <c r="B76" s="1" t="s">
        <v>207</v>
      </c>
      <c r="C76" s="1" t="s">
        <v>453</v>
      </c>
      <c r="D76" s="1" t="s">
        <v>514</v>
      </c>
      <c r="E76" s="1" t="s">
        <v>642</v>
      </c>
      <c r="F76" s="1" t="s">
        <v>643</v>
      </c>
      <c r="G76" s="1" t="s">
        <v>518</v>
      </c>
      <c r="H76" s="1" t="s">
        <v>515</v>
      </c>
    </row>
    <row r="77" customFormat="false" ht="23.25" hidden="false" customHeight="true" outlineLevel="0" collapsed="false">
      <c r="A77" s="1" t="s">
        <v>206</v>
      </c>
      <c r="B77" s="1" t="s">
        <v>207</v>
      </c>
      <c r="C77" s="1" t="s">
        <v>453</v>
      </c>
      <c r="D77" s="1" t="s">
        <v>514</v>
      </c>
      <c r="E77" s="1" t="s">
        <v>644</v>
      </c>
      <c r="F77" s="1" t="s">
        <v>645</v>
      </c>
      <c r="G77" s="1" t="s">
        <v>518</v>
      </c>
      <c r="H77" s="1" t="s">
        <v>515</v>
      </c>
    </row>
    <row r="78" customFormat="false" ht="23.25" hidden="false" customHeight="true" outlineLevel="0" collapsed="false">
      <c r="A78" s="1" t="s">
        <v>206</v>
      </c>
      <c r="B78" s="1" t="s">
        <v>207</v>
      </c>
      <c r="C78" s="1" t="s">
        <v>453</v>
      </c>
      <c r="D78" s="1" t="s">
        <v>514</v>
      </c>
      <c r="E78" s="1" t="s">
        <v>646</v>
      </c>
      <c r="F78" s="1" t="s">
        <v>647</v>
      </c>
      <c r="G78" s="1" t="s">
        <v>518</v>
      </c>
      <c r="H78" s="1" t="s">
        <v>515</v>
      </c>
    </row>
    <row r="79" customFormat="false" ht="23.25" hidden="false" customHeight="true" outlineLevel="0" collapsed="false">
      <c r="A79" s="1" t="s">
        <v>206</v>
      </c>
      <c r="B79" s="1" t="s">
        <v>207</v>
      </c>
      <c r="C79" s="1" t="s">
        <v>453</v>
      </c>
      <c r="D79" s="1" t="s">
        <v>514</v>
      </c>
      <c r="E79" s="1" t="s">
        <v>648</v>
      </c>
      <c r="F79" s="1" t="s">
        <v>649</v>
      </c>
      <c r="G79" s="1" t="s">
        <v>518</v>
      </c>
      <c r="H79" s="1" t="s">
        <v>515</v>
      </c>
    </row>
    <row r="80" customFormat="false" ht="23.25" hidden="false" customHeight="true" outlineLevel="0" collapsed="false">
      <c r="A80" s="1" t="s">
        <v>206</v>
      </c>
      <c r="B80" s="1" t="s">
        <v>207</v>
      </c>
      <c r="C80" s="1" t="s">
        <v>453</v>
      </c>
      <c r="D80" s="1" t="s">
        <v>514</v>
      </c>
      <c r="E80" s="1" t="s">
        <v>650</v>
      </c>
      <c r="F80" s="1" t="s">
        <v>651</v>
      </c>
      <c r="G80" s="1" t="s">
        <v>518</v>
      </c>
      <c r="H80" s="1" t="s">
        <v>515</v>
      </c>
    </row>
    <row r="81" customFormat="false" ht="23.25" hidden="false" customHeight="true" outlineLevel="0" collapsed="false">
      <c r="A81" s="1" t="s">
        <v>206</v>
      </c>
      <c r="B81" s="1" t="s">
        <v>207</v>
      </c>
      <c r="C81" s="1" t="s">
        <v>453</v>
      </c>
      <c r="D81" s="1" t="s">
        <v>514</v>
      </c>
      <c r="E81" s="1" t="s">
        <v>652</v>
      </c>
      <c r="F81" s="1" t="s">
        <v>653</v>
      </c>
      <c r="G81" s="1" t="s">
        <v>518</v>
      </c>
      <c r="H81" s="1" t="s">
        <v>515</v>
      </c>
    </row>
    <row r="82" customFormat="false" ht="23.25" hidden="false" customHeight="true" outlineLevel="0" collapsed="false">
      <c r="A82" s="1" t="s">
        <v>206</v>
      </c>
      <c r="B82" s="1" t="s">
        <v>207</v>
      </c>
      <c r="C82" s="1" t="s">
        <v>453</v>
      </c>
      <c r="D82" s="1" t="s">
        <v>514</v>
      </c>
      <c r="E82" s="1" t="s">
        <v>654</v>
      </c>
      <c r="F82" s="1" t="s">
        <v>655</v>
      </c>
      <c r="G82" s="1" t="s">
        <v>518</v>
      </c>
      <c r="H82" s="1" t="s">
        <v>515</v>
      </c>
    </row>
    <row r="83" customFormat="false" ht="23.25" hidden="false" customHeight="true" outlineLevel="0" collapsed="false">
      <c r="A83" s="1" t="s">
        <v>206</v>
      </c>
      <c r="B83" s="1" t="s">
        <v>207</v>
      </c>
      <c r="C83" s="1" t="s">
        <v>453</v>
      </c>
      <c r="D83" s="1" t="s">
        <v>514</v>
      </c>
      <c r="E83" s="1" t="s">
        <v>656</v>
      </c>
      <c r="F83" s="1" t="s">
        <v>657</v>
      </c>
      <c r="G83" s="1" t="s">
        <v>518</v>
      </c>
      <c r="H83" s="1" t="s">
        <v>515</v>
      </c>
    </row>
    <row r="84" customFormat="false" ht="23.25" hidden="false" customHeight="true" outlineLevel="0" collapsed="false">
      <c r="A84" s="1" t="s">
        <v>206</v>
      </c>
      <c r="B84" s="1" t="s">
        <v>207</v>
      </c>
      <c r="C84" s="1" t="s">
        <v>453</v>
      </c>
      <c r="D84" s="1" t="s">
        <v>514</v>
      </c>
      <c r="E84" s="1" t="s">
        <v>658</v>
      </c>
      <c r="F84" s="1" t="s">
        <v>659</v>
      </c>
      <c r="G84" s="1" t="s">
        <v>518</v>
      </c>
      <c r="H84" s="1" t="s">
        <v>515</v>
      </c>
    </row>
    <row r="85" customFormat="false" ht="23.25" hidden="false" customHeight="true" outlineLevel="0" collapsed="false">
      <c r="A85" s="1" t="s">
        <v>206</v>
      </c>
      <c r="B85" s="1" t="s">
        <v>207</v>
      </c>
      <c r="C85" s="1" t="s">
        <v>453</v>
      </c>
      <c r="D85" s="1" t="s">
        <v>514</v>
      </c>
      <c r="E85" s="1" t="s">
        <v>660</v>
      </c>
      <c r="F85" s="1" t="s">
        <v>661</v>
      </c>
      <c r="G85" s="1" t="s">
        <v>518</v>
      </c>
      <c r="H85" s="1" t="s">
        <v>515</v>
      </c>
    </row>
    <row r="86" customFormat="false" ht="23.25" hidden="false" customHeight="true" outlineLevel="0" collapsed="false">
      <c r="A86" s="1" t="s">
        <v>206</v>
      </c>
      <c r="B86" s="1" t="s">
        <v>207</v>
      </c>
      <c r="C86" s="1" t="s">
        <v>453</v>
      </c>
      <c r="D86" s="1" t="s">
        <v>514</v>
      </c>
      <c r="E86" s="1" t="s">
        <v>662</v>
      </c>
      <c r="F86" s="1" t="s">
        <v>663</v>
      </c>
      <c r="G86" s="1" t="s">
        <v>518</v>
      </c>
      <c r="H86" s="1" t="s">
        <v>515</v>
      </c>
    </row>
    <row r="87" customFormat="false" ht="23.25" hidden="false" customHeight="true" outlineLevel="0" collapsed="false">
      <c r="A87" s="1" t="s">
        <v>206</v>
      </c>
      <c r="B87" s="1" t="s">
        <v>207</v>
      </c>
      <c r="C87" s="1" t="s">
        <v>453</v>
      </c>
      <c r="D87" s="1" t="s">
        <v>514</v>
      </c>
      <c r="E87" s="1" t="s">
        <v>664</v>
      </c>
      <c r="F87" s="1" t="s">
        <v>665</v>
      </c>
      <c r="G87" s="1" t="s">
        <v>518</v>
      </c>
      <c r="H87" s="1" t="s">
        <v>515</v>
      </c>
    </row>
    <row r="88" customFormat="false" ht="23.25" hidden="false" customHeight="true" outlineLevel="0" collapsed="false">
      <c r="A88" s="1" t="s">
        <v>206</v>
      </c>
      <c r="B88" s="1" t="s">
        <v>207</v>
      </c>
      <c r="C88" s="1" t="s">
        <v>453</v>
      </c>
      <c r="D88" s="1" t="s">
        <v>514</v>
      </c>
      <c r="E88" s="1" t="s">
        <v>454</v>
      </c>
      <c r="F88" s="1" t="s">
        <v>666</v>
      </c>
      <c r="G88" s="1" t="s">
        <v>518</v>
      </c>
      <c r="H88" s="1" t="s">
        <v>515</v>
      </c>
    </row>
    <row r="89" customFormat="false" ht="23.25" hidden="false" customHeight="true" outlineLevel="0" collapsed="false">
      <c r="A89" s="1" t="s">
        <v>206</v>
      </c>
      <c r="B89" s="1" t="s">
        <v>207</v>
      </c>
      <c r="C89" s="1" t="s">
        <v>453</v>
      </c>
      <c r="D89" s="1" t="s">
        <v>514</v>
      </c>
      <c r="E89" s="1" t="s">
        <v>667</v>
      </c>
      <c r="F89" s="1" t="s">
        <v>668</v>
      </c>
      <c r="G89" s="1" t="s">
        <v>518</v>
      </c>
      <c r="H89" s="1" t="s">
        <v>515</v>
      </c>
    </row>
    <row r="90" customFormat="false" ht="23.25" hidden="false" customHeight="true" outlineLevel="0" collapsed="false">
      <c r="A90" s="1" t="s">
        <v>206</v>
      </c>
      <c r="B90" s="1" t="s">
        <v>207</v>
      </c>
      <c r="C90" s="1" t="s">
        <v>453</v>
      </c>
      <c r="D90" s="1" t="s">
        <v>669</v>
      </c>
      <c r="E90" s="1" t="s">
        <v>670</v>
      </c>
      <c r="F90" s="1" t="s">
        <v>671</v>
      </c>
      <c r="G90" s="1" t="s">
        <v>518</v>
      </c>
      <c r="H90" s="1" t="s">
        <v>672</v>
      </c>
    </row>
    <row r="91" customFormat="false" ht="23.25" hidden="false" customHeight="true" outlineLevel="0" collapsed="false">
      <c r="A91" s="1" t="s">
        <v>206</v>
      </c>
      <c r="B91" s="1" t="s">
        <v>207</v>
      </c>
      <c r="C91" s="1" t="s">
        <v>453</v>
      </c>
      <c r="D91" s="1" t="s">
        <v>669</v>
      </c>
      <c r="E91" s="1" t="s">
        <v>673</v>
      </c>
      <c r="F91" s="1" t="s">
        <v>674</v>
      </c>
      <c r="G91" s="1" t="s">
        <v>518</v>
      </c>
      <c r="H91" s="1" t="s">
        <v>672</v>
      </c>
    </row>
    <row r="92" customFormat="false" ht="23.25" hidden="false" customHeight="true" outlineLevel="0" collapsed="false">
      <c r="A92" s="1" t="s">
        <v>206</v>
      </c>
      <c r="B92" s="1" t="s">
        <v>207</v>
      </c>
      <c r="C92" s="1" t="s">
        <v>453</v>
      </c>
      <c r="D92" s="1" t="s">
        <v>669</v>
      </c>
      <c r="E92" s="1" t="s">
        <v>675</v>
      </c>
      <c r="F92" s="1" t="s">
        <v>676</v>
      </c>
      <c r="G92" s="1" t="s">
        <v>518</v>
      </c>
      <c r="H92" s="1" t="s">
        <v>672</v>
      </c>
    </row>
    <row r="93" customFormat="false" ht="23.25" hidden="false" customHeight="true" outlineLevel="0" collapsed="false">
      <c r="A93" s="1" t="s">
        <v>206</v>
      </c>
      <c r="B93" s="1" t="s">
        <v>207</v>
      </c>
      <c r="C93" s="1" t="s">
        <v>453</v>
      </c>
      <c r="D93" s="1" t="s">
        <v>669</v>
      </c>
      <c r="E93" s="1" t="s">
        <v>677</v>
      </c>
      <c r="F93" s="1" t="s">
        <v>678</v>
      </c>
      <c r="G93" s="1" t="s">
        <v>518</v>
      </c>
      <c r="H93" s="1" t="s">
        <v>672</v>
      </c>
    </row>
    <row r="94" customFormat="false" ht="23.25" hidden="false" customHeight="true" outlineLevel="0" collapsed="false">
      <c r="A94" s="1" t="s">
        <v>206</v>
      </c>
      <c r="B94" s="1" t="s">
        <v>207</v>
      </c>
      <c r="C94" s="1" t="s">
        <v>453</v>
      </c>
      <c r="D94" s="1" t="s">
        <v>669</v>
      </c>
      <c r="E94" s="1" t="s">
        <v>679</v>
      </c>
      <c r="F94" s="1" t="s">
        <v>680</v>
      </c>
      <c r="G94" s="1" t="s">
        <v>518</v>
      </c>
      <c r="H94" s="1" t="s">
        <v>672</v>
      </c>
    </row>
    <row r="95" customFormat="false" ht="15" hidden="false" customHeight="true" outlineLevel="0" collapsed="false">
      <c r="A95" s="1" t="s">
        <v>216</v>
      </c>
      <c r="B95" s="1" t="s">
        <v>217</v>
      </c>
      <c r="C95" s="1" t="s">
        <v>681</v>
      </c>
      <c r="D95" s="1" t="s">
        <v>682</v>
      </c>
      <c r="E95" s="1" t="s">
        <v>498</v>
      </c>
      <c r="F95" s="1" t="s">
        <v>683</v>
      </c>
      <c r="G95" s="1" t="s">
        <v>684</v>
      </c>
      <c r="H95" s="1" t="s">
        <v>685</v>
      </c>
    </row>
    <row r="96" customFormat="false" ht="15" hidden="false" customHeight="true" outlineLevel="0" collapsed="false">
      <c r="A96" s="1" t="s">
        <v>221</v>
      </c>
      <c r="B96" s="1" t="s">
        <v>222</v>
      </c>
      <c r="C96" s="1" t="s">
        <v>223</v>
      </c>
      <c r="D96" s="1" t="s">
        <v>686</v>
      </c>
      <c r="E96" s="1" t="s">
        <v>687</v>
      </c>
      <c r="F96" s="1" t="s">
        <v>467</v>
      </c>
      <c r="G96" s="1" t="s">
        <v>509</v>
      </c>
      <c r="H96" s="1" t="s">
        <v>688</v>
      </c>
    </row>
    <row r="97" customFormat="false" ht="15" hidden="false" customHeight="true" outlineLevel="0" collapsed="false">
      <c r="A97" s="1" t="s">
        <v>221</v>
      </c>
      <c r="B97" s="1" t="s">
        <v>222</v>
      </c>
      <c r="C97" s="1" t="s">
        <v>223</v>
      </c>
      <c r="D97" s="1" t="s">
        <v>689</v>
      </c>
      <c r="E97" s="1" t="s">
        <v>533</v>
      </c>
      <c r="F97" s="1" t="s">
        <v>690</v>
      </c>
      <c r="G97" s="1" t="s">
        <v>512</v>
      </c>
      <c r="H97" s="1" t="s">
        <v>691</v>
      </c>
    </row>
    <row r="98" customFormat="false" ht="57" hidden="false" customHeight="true" outlineLevel="0" collapsed="false">
      <c r="A98" s="1" t="s">
        <v>221</v>
      </c>
      <c r="B98" s="1" t="s">
        <v>222</v>
      </c>
      <c r="C98" s="1" t="s">
        <v>223</v>
      </c>
      <c r="D98" s="1" t="s">
        <v>692</v>
      </c>
      <c r="E98" s="1" t="s">
        <v>498</v>
      </c>
      <c r="F98" s="1" t="s">
        <v>693</v>
      </c>
      <c r="G98" s="1" t="s">
        <v>694</v>
      </c>
      <c r="H98" s="1" t="s">
        <v>695</v>
      </c>
    </row>
    <row r="99" customFormat="false" ht="15" hidden="false" customHeight="true" outlineLevel="0" collapsed="false">
      <c r="A99" s="1" t="s">
        <v>231</v>
      </c>
      <c r="B99" s="1" t="s">
        <v>232</v>
      </c>
      <c r="C99" s="1" t="s">
        <v>233</v>
      </c>
      <c r="D99" s="1" t="s">
        <v>692</v>
      </c>
      <c r="E99" s="1" t="s">
        <v>498</v>
      </c>
      <c r="F99" s="1" t="s">
        <v>696</v>
      </c>
      <c r="G99" s="1" t="s">
        <v>697</v>
      </c>
      <c r="H99" s="1" t="s">
        <v>698</v>
      </c>
    </row>
    <row r="100" customFormat="false" ht="15" hidden="false" customHeight="true" outlineLevel="0" collapsed="false">
      <c r="A100" s="1" t="s">
        <v>236</v>
      </c>
      <c r="B100" s="1" t="s">
        <v>237</v>
      </c>
      <c r="C100" s="1" t="s">
        <v>233</v>
      </c>
      <c r="D100" s="1" t="s">
        <v>692</v>
      </c>
      <c r="E100" s="1" t="s">
        <v>498</v>
      </c>
      <c r="F100" s="1" t="s">
        <v>696</v>
      </c>
      <c r="G100" s="1" t="s">
        <v>697</v>
      </c>
      <c r="H100" s="1" t="s">
        <v>698</v>
      </c>
    </row>
    <row r="101" customFormat="false" ht="23.25" hidden="false" customHeight="true" outlineLevel="0" collapsed="false">
      <c r="A101" s="1" t="s">
        <v>156</v>
      </c>
      <c r="B101" s="1" t="s">
        <v>157</v>
      </c>
      <c r="C101" s="1" t="s">
        <v>158</v>
      </c>
      <c r="D101" s="1" t="s">
        <v>699</v>
      </c>
      <c r="E101" s="1" t="s">
        <v>700</v>
      </c>
      <c r="F101" s="1" t="s">
        <v>701</v>
      </c>
      <c r="G101" s="1" t="s">
        <v>702</v>
      </c>
      <c r="H101" s="1" t="s">
        <v>703</v>
      </c>
    </row>
    <row r="102" customFormat="false" ht="23.25" hidden="false" customHeight="true" outlineLevel="0" collapsed="false">
      <c r="A102" s="1" t="s">
        <v>156</v>
      </c>
      <c r="B102" s="1" t="s">
        <v>157</v>
      </c>
      <c r="C102" s="1" t="s">
        <v>158</v>
      </c>
      <c r="D102" s="1" t="s">
        <v>704</v>
      </c>
      <c r="E102" s="1" t="s">
        <v>705</v>
      </c>
      <c r="F102" s="1" t="s">
        <v>706</v>
      </c>
      <c r="G102" s="1" t="s">
        <v>707</v>
      </c>
      <c r="H102" s="1" t="s">
        <v>708</v>
      </c>
    </row>
    <row r="103" customFormat="false" ht="23.25" hidden="false" customHeight="true" outlineLevel="0" collapsed="false">
      <c r="A103" s="1" t="s">
        <v>156</v>
      </c>
      <c r="B103" s="1" t="s">
        <v>157</v>
      </c>
      <c r="C103" s="1" t="s">
        <v>158</v>
      </c>
      <c r="D103" s="1" t="s">
        <v>704</v>
      </c>
      <c r="E103" s="1" t="s">
        <v>709</v>
      </c>
      <c r="F103" s="1" t="s">
        <v>710</v>
      </c>
      <c r="G103" s="1" t="s">
        <v>707</v>
      </c>
      <c r="H103" s="1" t="s">
        <v>708</v>
      </c>
    </row>
    <row r="104" customFormat="false" ht="23.25" hidden="false" customHeight="true" outlineLevel="0" collapsed="false">
      <c r="A104" s="1" t="s">
        <v>174</v>
      </c>
      <c r="B104" s="1" t="s">
        <v>175</v>
      </c>
      <c r="C104" s="1" t="s">
        <v>176</v>
      </c>
      <c r="D104" s="1" t="s">
        <v>711</v>
      </c>
      <c r="E104" s="1" t="s">
        <v>700</v>
      </c>
      <c r="F104" s="1" t="s">
        <v>712</v>
      </c>
      <c r="G104" s="1" t="s">
        <v>713</v>
      </c>
      <c r="H104" s="1" t="s">
        <v>714</v>
      </c>
    </row>
    <row r="105" customFormat="false" ht="15" hidden="false" customHeight="true" outlineLevel="0" collapsed="false">
      <c r="A105" s="1" t="s">
        <v>182</v>
      </c>
      <c r="B105" s="1" t="s">
        <v>183</v>
      </c>
      <c r="C105" s="1" t="s">
        <v>184</v>
      </c>
      <c r="D105" s="1" t="s">
        <v>704</v>
      </c>
      <c r="E105" s="1" t="s">
        <v>715</v>
      </c>
      <c r="F105" s="1" t="s">
        <v>448</v>
      </c>
      <c r="G105" s="1" t="s">
        <v>716</v>
      </c>
      <c r="H105" s="1" t="s">
        <v>717</v>
      </c>
    </row>
    <row r="106" customFormat="false" ht="34.5" hidden="false" customHeight="true" outlineLevel="0" collapsed="false">
      <c r="A106" s="1" t="s">
        <v>167</v>
      </c>
      <c r="B106" s="1" t="s">
        <v>168</v>
      </c>
      <c r="C106" s="1" t="s">
        <v>169</v>
      </c>
      <c r="D106" s="1" t="s">
        <v>718</v>
      </c>
      <c r="E106" s="1" t="s">
        <v>700</v>
      </c>
      <c r="F106" s="1" t="s">
        <v>719</v>
      </c>
      <c r="G106" s="1" t="s">
        <v>720</v>
      </c>
      <c r="H106" s="1" t="s">
        <v>721</v>
      </c>
    </row>
    <row r="107" customFormat="false" ht="34.5" hidden="false" customHeight="true" outlineLevel="0" collapsed="false">
      <c r="A107" s="1" t="s">
        <v>190</v>
      </c>
      <c r="B107" s="1" t="s">
        <v>191</v>
      </c>
      <c r="C107" s="1" t="s">
        <v>192</v>
      </c>
      <c r="D107" s="1" t="s">
        <v>718</v>
      </c>
      <c r="E107" s="1" t="s">
        <v>700</v>
      </c>
      <c r="F107" s="1" t="s">
        <v>719</v>
      </c>
      <c r="G107" s="1" t="s">
        <v>720</v>
      </c>
      <c r="H107" s="1" t="s">
        <v>721</v>
      </c>
    </row>
    <row r="108" customFormat="false" ht="34.5" hidden="false" customHeight="true" outlineLevel="0" collapsed="false">
      <c r="A108" s="1" t="s">
        <v>198</v>
      </c>
      <c r="B108" s="1" t="s">
        <v>199</v>
      </c>
      <c r="C108" s="1" t="s">
        <v>200</v>
      </c>
      <c r="D108" s="1" t="s">
        <v>718</v>
      </c>
      <c r="E108" s="1" t="s">
        <v>700</v>
      </c>
      <c r="F108" s="1" t="s">
        <v>719</v>
      </c>
      <c r="G108" s="1" t="s">
        <v>720</v>
      </c>
      <c r="H108" s="1" t="s">
        <v>721</v>
      </c>
    </row>
    <row r="109" customFormat="false" ht="34.5" hidden="false" customHeight="true" outlineLevel="0" collapsed="false">
      <c r="A109" s="1" t="s">
        <v>180</v>
      </c>
      <c r="B109" s="1" t="s">
        <v>722</v>
      </c>
      <c r="C109" s="1" t="s">
        <v>176</v>
      </c>
      <c r="D109" s="1" t="s">
        <v>718</v>
      </c>
      <c r="E109" s="1" t="s">
        <v>700</v>
      </c>
      <c r="F109" s="1" t="s">
        <v>719</v>
      </c>
      <c r="G109" s="1" t="s">
        <v>720</v>
      </c>
      <c r="H109" s="1" t="s">
        <v>721</v>
      </c>
    </row>
    <row r="110" customFormat="false" ht="15" hidden="false" customHeight="true" outlineLevel="0" collapsed="false">
      <c r="A110" s="1" t="s">
        <v>139</v>
      </c>
      <c r="B110" s="1" t="s">
        <v>140</v>
      </c>
      <c r="C110" s="1" t="s">
        <v>141</v>
      </c>
      <c r="D110" s="1" t="s">
        <v>723</v>
      </c>
      <c r="E110" s="1" t="s">
        <v>498</v>
      </c>
      <c r="F110" s="1" t="s">
        <v>724</v>
      </c>
      <c r="G110" s="1" t="s">
        <v>725</v>
      </c>
      <c r="H110" s="1" t="s">
        <v>726</v>
      </c>
    </row>
    <row r="111" customFormat="false" ht="15" hidden="false" customHeight="true" outlineLevel="0" collapsed="false">
      <c r="A111" s="1" t="s">
        <v>148</v>
      </c>
      <c r="B111" s="1" t="s">
        <v>149</v>
      </c>
      <c r="C111" s="1" t="s">
        <v>150</v>
      </c>
      <c r="D111" s="1" t="s">
        <v>723</v>
      </c>
      <c r="E111" s="1" t="s">
        <v>498</v>
      </c>
      <c r="F111" s="1" t="s">
        <v>724</v>
      </c>
      <c r="G111" s="1" t="s">
        <v>725</v>
      </c>
      <c r="H111" s="1" t="s">
        <v>726</v>
      </c>
    </row>
    <row r="112" customFormat="false" ht="15" hidden="false" customHeight="true" outlineLevel="0" collapsed="false">
      <c r="A112" s="1" t="s">
        <v>152</v>
      </c>
      <c r="B112" s="1" t="s">
        <v>153</v>
      </c>
      <c r="C112" s="1" t="s">
        <v>154</v>
      </c>
      <c r="D112" s="1" t="s">
        <v>723</v>
      </c>
      <c r="E112" s="1" t="s">
        <v>498</v>
      </c>
      <c r="F112" s="1" t="s">
        <v>724</v>
      </c>
      <c r="G112" s="1" t="s">
        <v>725</v>
      </c>
      <c r="H112" s="1" t="s">
        <v>726</v>
      </c>
    </row>
    <row r="113" customFormat="false" ht="15" hidden="false" customHeight="true" outlineLevel="0" collapsed="false">
      <c r="A113" s="1" t="s">
        <v>206</v>
      </c>
      <c r="B113" s="1" t="s">
        <v>207</v>
      </c>
      <c r="C113" s="1" t="s">
        <v>453</v>
      </c>
      <c r="D113" s="1" t="s">
        <v>727</v>
      </c>
      <c r="E113" s="1" t="s">
        <v>454</v>
      </c>
      <c r="F113" s="1" t="s">
        <v>455</v>
      </c>
      <c r="G113" s="1" t="s">
        <v>728</v>
      </c>
      <c r="H113" s="1" t="s">
        <v>729</v>
      </c>
    </row>
    <row r="114" customFormat="false" ht="34.5" hidden="false" customHeight="true" outlineLevel="0" collapsed="false">
      <c r="A114" s="1" t="s">
        <v>216</v>
      </c>
      <c r="B114" s="1" t="s">
        <v>217</v>
      </c>
      <c r="C114" s="1" t="s">
        <v>681</v>
      </c>
      <c r="D114" s="1" t="s">
        <v>682</v>
      </c>
      <c r="E114" s="1" t="s">
        <v>498</v>
      </c>
      <c r="F114" s="1" t="s">
        <v>730</v>
      </c>
      <c r="G114" s="1" t="s">
        <v>731</v>
      </c>
      <c r="H114" s="1" t="s">
        <v>685</v>
      </c>
    </row>
    <row r="115" customFormat="false" ht="23.25" hidden="false" customHeight="true" outlineLevel="0" collapsed="false">
      <c r="A115" s="1" t="s">
        <v>22</v>
      </c>
      <c r="B115" s="1" t="s">
        <v>117</v>
      </c>
      <c r="C115" s="1" t="s">
        <v>118</v>
      </c>
      <c r="D115" s="1" t="s">
        <v>502</v>
      </c>
      <c r="E115" s="1" t="s">
        <v>367</v>
      </c>
      <c r="F115" s="1" t="s">
        <v>368</v>
      </c>
      <c r="G115" s="1" t="s">
        <v>732</v>
      </c>
      <c r="H115" s="1" t="s">
        <v>733</v>
      </c>
    </row>
    <row r="116" customFormat="false" ht="23.25" hidden="false" customHeight="true" outlineLevel="0" collapsed="false">
      <c r="A116" s="1" t="s">
        <v>22</v>
      </c>
      <c r="B116" s="1" t="s">
        <v>117</v>
      </c>
      <c r="C116" s="1" t="s">
        <v>118</v>
      </c>
      <c r="D116" s="1" t="s">
        <v>502</v>
      </c>
      <c r="E116" s="1" t="s">
        <v>371</v>
      </c>
      <c r="F116" s="1" t="s">
        <v>372</v>
      </c>
      <c r="G116" s="1" t="s">
        <v>732</v>
      </c>
      <c r="H116" s="1" t="s">
        <v>733</v>
      </c>
    </row>
    <row r="117" customFormat="false" ht="23.25" hidden="false" customHeight="true" outlineLevel="0" collapsed="false">
      <c r="A117" s="1" t="s">
        <v>22</v>
      </c>
      <c r="B117" s="1" t="s">
        <v>117</v>
      </c>
      <c r="C117" s="1" t="s">
        <v>118</v>
      </c>
      <c r="D117" s="1" t="s">
        <v>502</v>
      </c>
      <c r="E117" s="1" t="s">
        <v>373</v>
      </c>
      <c r="F117" s="1" t="s">
        <v>374</v>
      </c>
      <c r="G117" s="1" t="s">
        <v>732</v>
      </c>
      <c r="H117" s="1" t="s">
        <v>733</v>
      </c>
    </row>
    <row r="118" customFormat="false" ht="23.25" hidden="false" customHeight="true" outlineLevel="0" collapsed="false">
      <c r="A118" s="1" t="s">
        <v>22</v>
      </c>
      <c r="B118" s="1" t="s">
        <v>117</v>
      </c>
      <c r="C118" s="1" t="s">
        <v>118</v>
      </c>
      <c r="D118" s="1" t="s">
        <v>502</v>
      </c>
      <c r="E118" s="1" t="s">
        <v>375</v>
      </c>
      <c r="F118" s="1" t="s">
        <v>376</v>
      </c>
      <c r="G118" s="1" t="s">
        <v>732</v>
      </c>
      <c r="H118" s="1" t="s">
        <v>733</v>
      </c>
    </row>
    <row r="119" customFormat="false" ht="23.25" hidden="false" customHeight="true" outlineLevel="0" collapsed="false">
      <c r="A119" s="1" t="s">
        <v>22</v>
      </c>
      <c r="B119" s="1" t="s">
        <v>117</v>
      </c>
      <c r="C119" s="1" t="s">
        <v>118</v>
      </c>
      <c r="D119" s="1" t="s">
        <v>502</v>
      </c>
      <c r="E119" s="1" t="s">
        <v>377</v>
      </c>
      <c r="F119" s="1" t="s">
        <v>378</v>
      </c>
      <c r="G119" s="1" t="s">
        <v>732</v>
      </c>
      <c r="H119" s="1" t="s">
        <v>733</v>
      </c>
    </row>
    <row r="120" customFormat="false" ht="23.25" hidden="false" customHeight="true" outlineLevel="0" collapsed="false">
      <c r="A120" s="1" t="s">
        <v>22</v>
      </c>
      <c r="B120" s="1" t="s">
        <v>117</v>
      </c>
      <c r="C120" s="1" t="s">
        <v>118</v>
      </c>
      <c r="D120" s="1" t="s">
        <v>502</v>
      </c>
      <c r="E120" s="1" t="s">
        <v>379</v>
      </c>
      <c r="F120" s="1" t="s">
        <v>380</v>
      </c>
      <c r="G120" s="1" t="s">
        <v>732</v>
      </c>
      <c r="H120" s="1" t="s">
        <v>733</v>
      </c>
    </row>
    <row r="121" customFormat="false" ht="23.25" hidden="false" customHeight="true" outlineLevel="0" collapsed="false">
      <c r="A121" s="1" t="s">
        <v>22</v>
      </c>
      <c r="B121" s="1" t="s">
        <v>117</v>
      </c>
      <c r="C121" s="1" t="s">
        <v>118</v>
      </c>
      <c r="D121" s="1" t="s">
        <v>502</v>
      </c>
      <c r="E121" s="1" t="s">
        <v>381</v>
      </c>
      <c r="F121" s="1" t="s">
        <v>382</v>
      </c>
      <c r="G121" s="1" t="s">
        <v>732</v>
      </c>
      <c r="H121" s="1" t="s">
        <v>733</v>
      </c>
    </row>
    <row r="122" customFormat="false" ht="23.25" hidden="false" customHeight="true" outlineLevel="0" collapsed="false">
      <c r="A122" s="1" t="s">
        <v>22</v>
      </c>
      <c r="B122" s="1" t="s">
        <v>117</v>
      </c>
      <c r="C122" s="1" t="s">
        <v>118</v>
      </c>
      <c r="D122" s="1" t="s">
        <v>502</v>
      </c>
      <c r="E122" s="1" t="s">
        <v>383</v>
      </c>
      <c r="F122" s="1" t="s">
        <v>384</v>
      </c>
      <c r="G122" s="1" t="s">
        <v>732</v>
      </c>
      <c r="H122" s="1" t="s">
        <v>733</v>
      </c>
    </row>
    <row r="123" customFormat="false" ht="23.25" hidden="false" customHeight="true" outlineLevel="0" collapsed="false">
      <c r="A123" s="1" t="s">
        <v>22</v>
      </c>
      <c r="B123" s="1" t="s">
        <v>117</v>
      </c>
      <c r="C123" s="1" t="s">
        <v>118</v>
      </c>
      <c r="D123" s="1" t="s">
        <v>502</v>
      </c>
      <c r="E123" s="1" t="s">
        <v>385</v>
      </c>
      <c r="F123" s="1" t="s">
        <v>386</v>
      </c>
      <c r="G123" s="1" t="s">
        <v>732</v>
      </c>
      <c r="H123" s="1" t="s">
        <v>733</v>
      </c>
    </row>
    <row r="124" customFormat="false" ht="23.25" hidden="false" customHeight="true" outlineLevel="0" collapsed="false">
      <c r="A124" s="1" t="s">
        <v>22</v>
      </c>
      <c r="B124" s="1" t="s">
        <v>117</v>
      </c>
      <c r="C124" s="1" t="s">
        <v>118</v>
      </c>
      <c r="D124" s="1" t="s">
        <v>502</v>
      </c>
      <c r="E124" s="1" t="s">
        <v>389</v>
      </c>
      <c r="F124" s="1" t="s">
        <v>390</v>
      </c>
      <c r="G124" s="1" t="s">
        <v>732</v>
      </c>
      <c r="H124" s="1" t="s">
        <v>733</v>
      </c>
    </row>
    <row r="125" customFormat="false" ht="23.25" hidden="false" customHeight="true" outlineLevel="0" collapsed="false">
      <c r="A125" s="1" t="s">
        <v>22</v>
      </c>
      <c r="B125" s="1" t="s">
        <v>117</v>
      </c>
      <c r="C125" s="1" t="s">
        <v>118</v>
      </c>
      <c r="D125" s="1" t="s">
        <v>502</v>
      </c>
      <c r="E125" s="1" t="s">
        <v>395</v>
      </c>
      <c r="F125" s="1" t="s">
        <v>396</v>
      </c>
      <c r="G125" s="1" t="s">
        <v>732</v>
      </c>
      <c r="H125" s="1" t="s">
        <v>733</v>
      </c>
    </row>
    <row r="126" customFormat="false" ht="23.25" hidden="false" customHeight="true" outlineLevel="0" collapsed="false">
      <c r="A126" s="1" t="s">
        <v>22</v>
      </c>
      <c r="B126" s="1" t="s">
        <v>117</v>
      </c>
      <c r="C126" s="1" t="s">
        <v>118</v>
      </c>
      <c r="D126" s="1" t="s">
        <v>502</v>
      </c>
      <c r="E126" s="1" t="s">
        <v>398</v>
      </c>
      <c r="F126" s="1" t="s">
        <v>399</v>
      </c>
      <c r="G126" s="1" t="s">
        <v>732</v>
      </c>
      <c r="H126" s="1" t="s">
        <v>733</v>
      </c>
    </row>
    <row r="127" customFormat="false" ht="23.25" hidden="false" customHeight="true" outlineLevel="0" collapsed="false">
      <c r="A127" s="1" t="s">
        <v>22</v>
      </c>
      <c r="B127" s="1" t="s">
        <v>117</v>
      </c>
      <c r="C127" s="1" t="s">
        <v>118</v>
      </c>
      <c r="D127" s="1" t="s">
        <v>502</v>
      </c>
      <c r="E127" s="1" t="s">
        <v>400</v>
      </c>
      <c r="F127" s="1" t="s">
        <v>401</v>
      </c>
      <c r="G127" s="1" t="s">
        <v>732</v>
      </c>
      <c r="H127" s="1" t="s">
        <v>733</v>
      </c>
    </row>
    <row r="128" customFormat="false" ht="23.25" hidden="false" customHeight="true" outlineLevel="0" collapsed="false">
      <c r="A128" s="1" t="s">
        <v>22</v>
      </c>
      <c r="B128" s="1" t="s">
        <v>117</v>
      </c>
      <c r="C128" s="1" t="s">
        <v>118</v>
      </c>
      <c r="D128" s="1" t="s">
        <v>502</v>
      </c>
      <c r="E128" s="1" t="s">
        <v>403</v>
      </c>
      <c r="F128" s="1" t="s">
        <v>404</v>
      </c>
      <c r="G128" s="1" t="s">
        <v>732</v>
      </c>
      <c r="H128" s="1" t="s">
        <v>733</v>
      </c>
    </row>
    <row r="129" customFormat="false" ht="23.25" hidden="false" customHeight="true" outlineLevel="0" collapsed="false">
      <c r="A129" s="1" t="s">
        <v>129</v>
      </c>
      <c r="B129" s="1" t="s">
        <v>130</v>
      </c>
      <c r="C129" s="1" t="s">
        <v>131</v>
      </c>
      <c r="D129" s="1" t="s">
        <v>502</v>
      </c>
      <c r="E129" s="1" t="s">
        <v>415</v>
      </c>
      <c r="F129" s="1" t="s">
        <v>416</v>
      </c>
      <c r="G129" s="1" t="s">
        <v>732</v>
      </c>
      <c r="H129" s="1" t="s">
        <v>733</v>
      </c>
    </row>
    <row r="130" customFormat="false" ht="23.25" hidden="false" customHeight="true" outlineLevel="0" collapsed="false">
      <c r="A130" s="1" t="s">
        <v>129</v>
      </c>
      <c r="B130" s="1" t="s">
        <v>130</v>
      </c>
      <c r="C130" s="1" t="s">
        <v>131</v>
      </c>
      <c r="D130" s="1" t="s">
        <v>502</v>
      </c>
      <c r="E130" s="1" t="s">
        <v>417</v>
      </c>
      <c r="F130" s="1" t="s">
        <v>418</v>
      </c>
      <c r="G130" s="1" t="s">
        <v>732</v>
      </c>
      <c r="H130" s="1" t="s">
        <v>733</v>
      </c>
    </row>
    <row r="131" customFormat="false" ht="23.25" hidden="false" customHeight="true" outlineLevel="0" collapsed="false">
      <c r="A131" s="1" t="s">
        <v>129</v>
      </c>
      <c r="B131" s="1" t="s">
        <v>130</v>
      </c>
      <c r="C131" s="1" t="s">
        <v>131</v>
      </c>
      <c r="D131" s="1" t="s">
        <v>502</v>
      </c>
      <c r="E131" s="1" t="s">
        <v>419</v>
      </c>
      <c r="F131" s="1" t="s">
        <v>420</v>
      </c>
      <c r="G131" s="1" t="s">
        <v>732</v>
      </c>
      <c r="H131" s="1" t="s">
        <v>733</v>
      </c>
    </row>
    <row r="132" customFormat="false" ht="23.25" hidden="false" customHeight="true" outlineLevel="0" collapsed="false">
      <c r="A132" s="1" t="s">
        <v>129</v>
      </c>
      <c r="B132" s="1" t="s">
        <v>130</v>
      </c>
      <c r="C132" s="1" t="s">
        <v>131</v>
      </c>
      <c r="D132" s="1" t="s">
        <v>502</v>
      </c>
      <c r="E132" s="1" t="s">
        <v>421</v>
      </c>
      <c r="F132" s="1" t="s">
        <v>422</v>
      </c>
      <c r="G132" s="1" t="s">
        <v>732</v>
      </c>
      <c r="H132" s="1" t="s">
        <v>733</v>
      </c>
    </row>
    <row r="133" customFormat="false" ht="23.25" hidden="false" customHeight="true" outlineLevel="0" collapsed="false">
      <c r="A133" s="1" t="s">
        <v>129</v>
      </c>
      <c r="B133" s="1" t="s">
        <v>130</v>
      </c>
      <c r="C133" s="1" t="s">
        <v>131</v>
      </c>
      <c r="D133" s="1" t="s">
        <v>502</v>
      </c>
      <c r="E133" s="1" t="s">
        <v>423</v>
      </c>
      <c r="F133" s="1" t="s">
        <v>424</v>
      </c>
      <c r="G133" s="1" t="s">
        <v>732</v>
      </c>
      <c r="H133" s="1" t="s">
        <v>733</v>
      </c>
    </row>
    <row r="134" customFormat="false" ht="23.25" hidden="false" customHeight="true" outlineLevel="0" collapsed="false">
      <c r="A134" s="1" t="s">
        <v>129</v>
      </c>
      <c r="B134" s="1" t="s">
        <v>130</v>
      </c>
      <c r="C134" s="1" t="s">
        <v>131</v>
      </c>
      <c r="D134" s="1" t="s">
        <v>502</v>
      </c>
      <c r="E134" s="1" t="s">
        <v>426</v>
      </c>
      <c r="F134" s="1" t="s">
        <v>427</v>
      </c>
      <c r="G134" s="1" t="s">
        <v>732</v>
      </c>
      <c r="H134" s="1" t="s">
        <v>733</v>
      </c>
    </row>
    <row r="135" customFormat="false" ht="23.25" hidden="false" customHeight="true" outlineLevel="0" collapsed="false">
      <c r="A135" s="1" t="s">
        <v>129</v>
      </c>
      <c r="B135" s="1" t="s">
        <v>130</v>
      </c>
      <c r="C135" s="1" t="s">
        <v>131</v>
      </c>
      <c r="D135" s="1" t="s">
        <v>502</v>
      </c>
      <c r="E135" s="1" t="s">
        <v>428</v>
      </c>
      <c r="F135" s="1" t="s">
        <v>429</v>
      </c>
      <c r="G135" s="1" t="s">
        <v>732</v>
      </c>
      <c r="H135" s="1" t="s">
        <v>733</v>
      </c>
    </row>
    <row r="136" customFormat="false" ht="23.25" hidden="false" customHeight="true" outlineLevel="0" collapsed="false">
      <c r="A136" s="1" t="s">
        <v>22</v>
      </c>
      <c r="B136" s="1" t="s">
        <v>117</v>
      </c>
      <c r="C136" s="1" t="s">
        <v>118</v>
      </c>
      <c r="D136" s="1" t="s">
        <v>502</v>
      </c>
      <c r="E136" s="1" t="s">
        <v>734</v>
      </c>
      <c r="F136" s="1" t="s">
        <v>735</v>
      </c>
      <c r="G136" s="1" t="s">
        <v>505</v>
      </c>
      <c r="H136" s="1" t="s">
        <v>733</v>
      </c>
    </row>
    <row r="137" customFormat="false" ht="23.25" hidden="false" customHeight="true" outlineLevel="0" collapsed="false">
      <c r="A137" s="1" t="s">
        <v>22</v>
      </c>
      <c r="B137" s="1" t="s">
        <v>117</v>
      </c>
      <c r="C137" s="1" t="s">
        <v>118</v>
      </c>
      <c r="D137" s="1" t="s">
        <v>502</v>
      </c>
      <c r="E137" s="1" t="s">
        <v>387</v>
      </c>
      <c r="F137" s="1" t="s">
        <v>388</v>
      </c>
      <c r="G137" s="1" t="s">
        <v>505</v>
      </c>
      <c r="H137" s="1" t="s">
        <v>733</v>
      </c>
    </row>
    <row r="138" customFormat="false" ht="23.25" hidden="false" customHeight="true" outlineLevel="0" collapsed="false">
      <c r="A138" s="1" t="s">
        <v>129</v>
      </c>
      <c r="B138" s="1" t="s">
        <v>130</v>
      </c>
      <c r="C138" s="1" t="s">
        <v>131</v>
      </c>
      <c r="D138" s="1" t="s">
        <v>502</v>
      </c>
      <c r="E138" s="1" t="s">
        <v>736</v>
      </c>
      <c r="F138" s="1" t="s">
        <v>737</v>
      </c>
      <c r="G138" s="1" t="s">
        <v>505</v>
      </c>
      <c r="H138" s="1" t="s">
        <v>733</v>
      </c>
    </row>
    <row r="139" customFormat="false" ht="23.25" hidden="false" customHeight="true" outlineLevel="0" collapsed="false">
      <c r="A139" s="1" t="s">
        <v>129</v>
      </c>
      <c r="B139" s="1" t="s">
        <v>130</v>
      </c>
      <c r="C139" s="1" t="s">
        <v>131</v>
      </c>
      <c r="D139" s="1" t="s">
        <v>502</v>
      </c>
      <c r="E139" s="1" t="s">
        <v>482</v>
      </c>
      <c r="F139" s="1" t="s">
        <v>738</v>
      </c>
      <c r="G139" s="1" t="s">
        <v>505</v>
      </c>
      <c r="H139" s="1" t="s">
        <v>733</v>
      </c>
    </row>
    <row r="140" customFormat="false" ht="23.25" hidden="false" customHeight="true" outlineLevel="0" collapsed="false">
      <c r="A140" s="1" t="s">
        <v>22</v>
      </c>
      <c r="B140" s="1" t="s">
        <v>117</v>
      </c>
      <c r="C140" s="1" t="s">
        <v>118</v>
      </c>
      <c r="D140" s="1" t="s">
        <v>739</v>
      </c>
      <c r="E140" s="1" t="s">
        <v>673</v>
      </c>
      <c r="F140" s="1" t="s">
        <v>740</v>
      </c>
      <c r="G140" s="1" t="s">
        <v>505</v>
      </c>
      <c r="H140" s="1" t="s">
        <v>741</v>
      </c>
    </row>
    <row r="141" customFormat="false" ht="34.5" hidden="false" customHeight="true" outlineLevel="0" collapsed="false">
      <c r="A141" s="1" t="s">
        <v>221</v>
      </c>
      <c r="B141" s="1" t="s">
        <v>222</v>
      </c>
      <c r="C141" s="1" t="s">
        <v>223</v>
      </c>
      <c r="D141" s="1" t="s">
        <v>742</v>
      </c>
      <c r="E141" s="1" t="s">
        <v>743</v>
      </c>
      <c r="F141" s="1" t="s">
        <v>477</v>
      </c>
      <c r="G141" s="1" t="s">
        <v>744</v>
      </c>
      <c r="H141" s="1" t="s">
        <v>745</v>
      </c>
    </row>
    <row r="142" customFormat="false" ht="34.5" hidden="false" customHeight="true" outlineLevel="0" collapsed="false">
      <c r="A142" s="1" t="s">
        <v>231</v>
      </c>
      <c r="B142" s="1" t="s">
        <v>232</v>
      </c>
      <c r="C142" s="1" t="s">
        <v>233</v>
      </c>
      <c r="D142" s="1" t="s">
        <v>742</v>
      </c>
      <c r="E142" s="1" t="s">
        <v>746</v>
      </c>
      <c r="F142" s="1" t="s">
        <v>747</v>
      </c>
      <c r="G142" s="1" t="s">
        <v>505</v>
      </c>
      <c r="H142" s="1" t="s">
        <v>745</v>
      </c>
    </row>
    <row r="143" customFormat="false" ht="34.5" hidden="false" customHeight="true" outlineLevel="0" collapsed="false">
      <c r="A143" s="1" t="s">
        <v>236</v>
      </c>
      <c r="B143" s="1" t="s">
        <v>237</v>
      </c>
      <c r="C143" s="1" t="s">
        <v>233</v>
      </c>
      <c r="D143" s="1" t="s">
        <v>742</v>
      </c>
      <c r="E143" s="1" t="s">
        <v>746</v>
      </c>
      <c r="F143" s="1" t="s">
        <v>747</v>
      </c>
      <c r="G143" s="1" t="s">
        <v>505</v>
      </c>
      <c r="H143" s="1" t="s">
        <v>745</v>
      </c>
    </row>
    <row r="144" customFormat="false" ht="34.5" hidden="false" customHeight="true" outlineLevel="0" collapsed="false">
      <c r="A144" s="1" t="s">
        <v>174</v>
      </c>
      <c r="B144" s="1" t="s">
        <v>175</v>
      </c>
      <c r="C144" s="1" t="s">
        <v>176</v>
      </c>
      <c r="D144" s="1" t="s">
        <v>742</v>
      </c>
      <c r="E144" s="1" t="s">
        <v>687</v>
      </c>
      <c r="F144" s="1" t="s">
        <v>748</v>
      </c>
      <c r="G144" s="1" t="s">
        <v>505</v>
      </c>
      <c r="H144" s="1" t="s">
        <v>745</v>
      </c>
    </row>
    <row r="145" customFormat="false" ht="34.5" hidden="false" customHeight="true" outlineLevel="0" collapsed="false">
      <c r="A145" s="1" t="s">
        <v>174</v>
      </c>
      <c r="B145" s="1" t="s">
        <v>175</v>
      </c>
      <c r="C145" s="1" t="s">
        <v>176</v>
      </c>
      <c r="D145" s="1" t="s">
        <v>742</v>
      </c>
      <c r="E145" s="1" t="s">
        <v>746</v>
      </c>
      <c r="F145" s="1" t="s">
        <v>749</v>
      </c>
      <c r="G145" s="1" t="s">
        <v>505</v>
      </c>
      <c r="H145" s="1" t="s">
        <v>745</v>
      </c>
    </row>
    <row r="146" customFormat="false" ht="34.5" hidden="false" customHeight="true" outlineLevel="0" collapsed="false">
      <c r="A146" s="1" t="s">
        <v>174</v>
      </c>
      <c r="B146" s="1" t="s">
        <v>175</v>
      </c>
      <c r="C146" s="1" t="s">
        <v>176</v>
      </c>
      <c r="D146" s="1" t="s">
        <v>742</v>
      </c>
      <c r="E146" s="1" t="s">
        <v>750</v>
      </c>
      <c r="F146" s="1" t="s">
        <v>751</v>
      </c>
      <c r="G146" s="1" t="s">
        <v>505</v>
      </c>
      <c r="H146" s="1" t="s">
        <v>745</v>
      </c>
    </row>
    <row r="147" customFormat="false" ht="34.5" hidden="false" customHeight="true" outlineLevel="0" collapsed="false">
      <c r="A147" s="1" t="s">
        <v>174</v>
      </c>
      <c r="B147" s="1" t="s">
        <v>175</v>
      </c>
      <c r="C147" s="1" t="s">
        <v>176</v>
      </c>
      <c r="D147" s="1" t="s">
        <v>742</v>
      </c>
      <c r="E147" s="1" t="s">
        <v>679</v>
      </c>
      <c r="F147" s="1" t="s">
        <v>752</v>
      </c>
      <c r="G147" s="1" t="s">
        <v>505</v>
      </c>
      <c r="H147" s="1" t="s">
        <v>745</v>
      </c>
    </row>
    <row r="148" customFormat="false" ht="23.25" hidden="false" customHeight="true" outlineLevel="0" collapsed="false">
      <c r="A148" s="1" t="s">
        <v>156</v>
      </c>
      <c r="B148" s="1" t="s">
        <v>157</v>
      </c>
      <c r="C148" s="1" t="s">
        <v>158</v>
      </c>
      <c r="D148" s="1" t="s">
        <v>753</v>
      </c>
      <c r="E148" s="1" t="s">
        <v>687</v>
      </c>
      <c r="F148" s="1" t="s">
        <v>754</v>
      </c>
      <c r="G148" s="1" t="s">
        <v>505</v>
      </c>
      <c r="H148" s="1" t="s">
        <v>755</v>
      </c>
    </row>
    <row r="149" customFormat="false" ht="23.25" hidden="false" customHeight="true" outlineLevel="0" collapsed="false">
      <c r="A149" s="1" t="s">
        <v>156</v>
      </c>
      <c r="B149" s="1" t="s">
        <v>157</v>
      </c>
      <c r="C149" s="1" t="s">
        <v>158</v>
      </c>
      <c r="D149" s="1" t="s">
        <v>753</v>
      </c>
      <c r="E149" s="1" t="s">
        <v>746</v>
      </c>
      <c r="F149" s="1" t="s">
        <v>756</v>
      </c>
      <c r="G149" s="1" t="s">
        <v>505</v>
      </c>
      <c r="H149" s="1" t="s">
        <v>755</v>
      </c>
    </row>
    <row r="150" customFormat="false" ht="23.25" hidden="false" customHeight="true" outlineLevel="0" collapsed="false">
      <c r="A150" s="1" t="s">
        <v>156</v>
      </c>
      <c r="B150" s="1" t="s">
        <v>157</v>
      </c>
      <c r="C150" s="1" t="s">
        <v>158</v>
      </c>
      <c r="D150" s="1" t="s">
        <v>753</v>
      </c>
      <c r="E150" s="1" t="s">
        <v>679</v>
      </c>
      <c r="F150" s="1" t="s">
        <v>757</v>
      </c>
      <c r="G150" s="1" t="s">
        <v>505</v>
      </c>
      <c r="H150" s="1" t="s">
        <v>755</v>
      </c>
    </row>
    <row r="151" customFormat="false" ht="23.25" hidden="false" customHeight="true" outlineLevel="0" collapsed="false">
      <c r="A151" s="1" t="s">
        <v>156</v>
      </c>
      <c r="B151" s="1" t="s">
        <v>157</v>
      </c>
      <c r="C151" s="1" t="s">
        <v>158</v>
      </c>
      <c r="D151" s="1" t="s">
        <v>753</v>
      </c>
      <c r="E151" s="1" t="s">
        <v>677</v>
      </c>
      <c r="F151" s="1" t="s">
        <v>437</v>
      </c>
      <c r="G151" s="1" t="s">
        <v>758</v>
      </c>
      <c r="H151" s="1" t="s">
        <v>755</v>
      </c>
    </row>
    <row r="152" customFormat="false" ht="23.25" hidden="false" customHeight="true" outlineLevel="0" collapsed="false">
      <c r="A152" s="1" t="s">
        <v>167</v>
      </c>
      <c r="B152" s="1" t="s">
        <v>168</v>
      </c>
      <c r="C152" s="1" t="s">
        <v>169</v>
      </c>
      <c r="D152" s="1" t="s">
        <v>753</v>
      </c>
      <c r="E152" s="1" t="s">
        <v>679</v>
      </c>
      <c r="F152" s="1" t="s">
        <v>759</v>
      </c>
      <c r="G152" s="1" t="s">
        <v>505</v>
      </c>
      <c r="H152" s="1" t="s">
        <v>755</v>
      </c>
    </row>
    <row r="153" customFormat="false" ht="23.25" hidden="false" customHeight="true" outlineLevel="0" collapsed="false">
      <c r="A153" s="1" t="s">
        <v>180</v>
      </c>
      <c r="B153" s="1" t="s">
        <v>760</v>
      </c>
      <c r="C153" s="1" t="s">
        <v>176</v>
      </c>
      <c r="D153" s="1" t="s">
        <v>753</v>
      </c>
      <c r="E153" s="1" t="s">
        <v>687</v>
      </c>
      <c r="F153" s="1" t="s">
        <v>748</v>
      </c>
      <c r="G153" s="1" t="s">
        <v>505</v>
      </c>
      <c r="H153" s="1" t="s">
        <v>755</v>
      </c>
    </row>
    <row r="154" customFormat="false" ht="23.25" hidden="false" customHeight="true" outlineLevel="0" collapsed="false">
      <c r="A154" s="1" t="s">
        <v>180</v>
      </c>
      <c r="B154" s="1" t="s">
        <v>760</v>
      </c>
      <c r="C154" s="1" t="s">
        <v>176</v>
      </c>
      <c r="D154" s="1" t="s">
        <v>753</v>
      </c>
      <c r="E154" s="1" t="s">
        <v>746</v>
      </c>
      <c r="F154" s="1" t="s">
        <v>749</v>
      </c>
      <c r="G154" s="1" t="s">
        <v>505</v>
      </c>
      <c r="H154" s="1" t="s">
        <v>755</v>
      </c>
    </row>
    <row r="155" customFormat="false" ht="23.25" hidden="false" customHeight="true" outlineLevel="0" collapsed="false">
      <c r="A155" s="1" t="s">
        <v>180</v>
      </c>
      <c r="B155" s="1" t="s">
        <v>760</v>
      </c>
      <c r="C155" s="1" t="s">
        <v>176</v>
      </c>
      <c r="D155" s="1" t="s">
        <v>753</v>
      </c>
      <c r="E155" s="1" t="s">
        <v>750</v>
      </c>
      <c r="F155" s="1" t="s">
        <v>751</v>
      </c>
      <c r="G155" s="1" t="s">
        <v>505</v>
      </c>
      <c r="H155" s="1" t="s">
        <v>755</v>
      </c>
    </row>
    <row r="156" customFormat="false" ht="23.25" hidden="false" customHeight="true" outlineLevel="0" collapsed="false">
      <c r="A156" s="1" t="s">
        <v>180</v>
      </c>
      <c r="B156" s="1" t="s">
        <v>760</v>
      </c>
      <c r="C156" s="1" t="s">
        <v>176</v>
      </c>
      <c r="D156" s="1" t="s">
        <v>753</v>
      </c>
      <c r="E156" s="1" t="s">
        <v>679</v>
      </c>
      <c r="F156" s="1" t="s">
        <v>752</v>
      </c>
      <c r="G156" s="1" t="s">
        <v>505</v>
      </c>
      <c r="H156" s="1" t="s">
        <v>755</v>
      </c>
    </row>
    <row r="157" customFormat="false" ht="23.25" hidden="false" customHeight="true" outlineLevel="0" collapsed="false">
      <c r="A157" s="1" t="s">
        <v>182</v>
      </c>
      <c r="B157" s="1" t="s">
        <v>183</v>
      </c>
      <c r="C157" s="1" t="s">
        <v>184</v>
      </c>
      <c r="D157" s="1" t="s">
        <v>753</v>
      </c>
      <c r="E157" s="1" t="s">
        <v>677</v>
      </c>
      <c r="F157" s="1" t="s">
        <v>761</v>
      </c>
      <c r="G157" s="1" t="s">
        <v>505</v>
      </c>
      <c r="H157" s="1" t="s">
        <v>755</v>
      </c>
    </row>
    <row r="158" customFormat="false" ht="23.25" hidden="false" customHeight="true" outlineLevel="0" collapsed="false">
      <c r="A158" s="1" t="s">
        <v>190</v>
      </c>
      <c r="B158" s="1" t="s">
        <v>191</v>
      </c>
      <c r="C158" s="1" t="s">
        <v>192</v>
      </c>
      <c r="D158" s="1" t="s">
        <v>753</v>
      </c>
      <c r="E158" s="1" t="s">
        <v>679</v>
      </c>
      <c r="F158" s="1" t="s">
        <v>762</v>
      </c>
      <c r="G158" s="1" t="s">
        <v>505</v>
      </c>
      <c r="H158" s="1" t="s">
        <v>755</v>
      </c>
    </row>
    <row r="159" customFormat="false" ht="23.25" hidden="false" customHeight="true" outlineLevel="0" collapsed="false">
      <c r="A159" s="1" t="s">
        <v>190</v>
      </c>
      <c r="B159" s="1" t="s">
        <v>191</v>
      </c>
      <c r="C159" s="1" t="s">
        <v>192</v>
      </c>
      <c r="D159" s="1" t="s">
        <v>753</v>
      </c>
      <c r="E159" s="1" t="s">
        <v>677</v>
      </c>
      <c r="F159" s="1" t="s">
        <v>763</v>
      </c>
      <c r="G159" s="1" t="s">
        <v>505</v>
      </c>
      <c r="H159" s="1" t="s">
        <v>755</v>
      </c>
    </row>
    <row r="160" customFormat="false" ht="23.25" hidden="false" customHeight="true" outlineLevel="0" collapsed="false">
      <c r="A160" s="1" t="s">
        <v>190</v>
      </c>
      <c r="B160" s="1" t="s">
        <v>191</v>
      </c>
      <c r="C160" s="1" t="s">
        <v>192</v>
      </c>
      <c r="D160" s="1" t="s">
        <v>753</v>
      </c>
      <c r="E160" s="1" t="s">
        <v>673</v>
      </c>
      <c r="F160" s="1" t="s">
        <v>764</v>
      </c>
      <c r="G160" s="1" t="s">
        <v>505</v>
      </c>
      <c r="H160" s="1" t="s">
        <v>755</v>
      </c>
    </row>
    <row r="161" customFormat="false" ht="23.25" hidden="false" customHeight="true" outlineLevel="0" collapsed="false">
      <c r="A161" s="1" t="s">
        <v>198</v>
      </c>
      <c r="B161" s="1" t="s">
        <v>199</v>
      </c>
      <c r="C161" s="1" t="s">
        <v>200</v>
      </c>
      <c r="D161" s="1" t="s">
        <v>753</v>
      </c>
      <c r="E161" s="1" t="s">
        <v>765</v>
      </c>
      <c r="F161" s="1" t="s">
        <v>766</v>
      </c>
      <c r="G161" s="1" t="s">
        <v>505</v>
      </c>
      <c r="H161" s="1" t="s">
        <v>755</v>
      </c>
    </row>
    <row r="162" customFormat="false" ht="23.25" hidden="false" customHeight="true" outlineLevel="0" collapsed="false">
      <c r="A162" s="1" t="s">
        <v>198</v>
      </c>
      <c r="B162" s="1" t="s">
        <v>199</v>
      </c>
      <c r="C162" s="1" t="s">
        <v>200</v>
      </c>
      <c r="D162" s="1" t="s">
        <v>753</v>
      </c>
      <c r="E162" s="1" t="s">
        <v>767</v>
      </c>
      <c r="F162" s="1" t="s">
        <v>768</v>
      </c>
      <c r="G162" s="1" t="s">
        <v>505</v>
      </c>
      <c r="H162" s="1" t="s">
        <v>755</v>
      </c>
    </row>
    <row r="163" customFormat="false" ht="23.25" hidden="false" customHeight="true" outlineLevel="0" collapsed="false">
      <c r="A163" s="1" t="s">
        <v>198</v>
      </c>
      <c r="B163" s="1" t="s">
        <v>199</v>
      </c>
      <c r="C163" s="1" t="s">
        <v>200</v>
      </c>
      <c r="D163" s="1" t="s">
        <v>753</v>
      </c>
      <c r="E163" s="1" t="s">
        <v>769</v>
      </c>
      <c r="F163" s="1" t="s">
        <v>770</v>
      </c>
      <c r="G163" s="1" t="s">
        <v>505</v>
      </c>
      <c r="H163" s="1" t="s">
        <v>755</v>
      </c>
    </row>
    <row r="164" customFormat="false" ht="23.25" hidden="false" customHeight="true" outlineLevel="0" collapsed="false">
      <c r="A164" s="1" t="s">
        <v>198</v>
      </c>
      <c r="B164" s="1" t="s">
        <v>199</v>
      </c>
      <c r="C164" s="1" t="s">
        <v>200</v>
      </c>
      <c r="D164" s="1" t="s">
        <v>753</v>
      </c>
      <c r="E164" s="1" t="s">
        <v>743</v>
      </c>
      <c r="F164" s="1" t="s">
        <v>771</v>
      </c>
      <c r="G164" s="1" t="s">
        <v>505</v>
      </c>
      <c r="H164" s="1" t="s">
        <v>755</v>
      </c>
    </row>
    <row r="165" customFormat="false" ht="23.25" hidden="false" customHeight="true" outlineLevel="0" collapsed="false">
      <c r="A165" s="1" t="s">
        <v>198</v>
      </c>
      <c r="B165" s="1" t="s">
        <v>199</v>
      </c>
      <c r="C165" s="1" t="s">
        <v>200</v>
      </c>
      <c r="D165" s="1" t="s">
        <v>753</v>
      </c>
      <c r="E165" s="1" t="s">
        <v>750</v>
      </c>
      <c r="F165" s="1" t="s">
        <v>772</v>
      </c>
      <c r="G165" s="1" t="s">
        <v>505</v>
      </c>
      <c r="H165" s="1" t="s">
        <v>755</v>
      </c>
    </row>
    <row r="166" customFormat="false" ht="23.25" hidden="false" customHeight="true" outlineLevel="0" collapsed="false">
      <c r="A166" s="1" t="s">
        <v>198</v>
      </c>
      <c r="B166" s="1" t="s">
        <v>199</v>
      </c>
      <c r="C166" s="1" t="s">
        <v>200</v>
      </c>
      <c r="D166" s="1" t="s">
        <v>753</v>
      </c>
      <c r="E166" s="1" t="s">
        <v>679</v>
      </c>
      <c r="F166" s="1" t="s">
        <v>773</v>
      </c>
      <c r="G166" s="1" t="s">
        <v>505</v>
      </c>
      <c r="H166" s="1" t="s">
        <v>755</v>
      </c>
    </row>
    <row r="167" customFormat="false" ht="23.25" hidden="false" customHeight="true" outlineLevel="0" collapsed="false">
      <c r="A167" s="1" t="s">
        <v>198</v>
      </c>
      <c r="B167" s="1" t="s">
        <v>199</v>
      </c>
      <c r="C167" s="1" t="s">
        <v>200</v>
      </c>
      <c r="D167" s="1" t="s">
        <v>753</v>
      </c>
      <c r="E167" s="1" t="s">
        <v>677</v>
      </c>
      <c r="F167" s="1" t="s">
        <v>774</v>
      </c>
      <c r="G167" s="1" t="s">
        <v>505</v>
      </c>
      <c r="H167" s="1" t="s">
        <v>755</v>
      </c>
    </row>
    <row r="168" customFormat="false" ht="23.25" hidden="false" customHeight="true" outlineLevel="0" collapsed="false">
      <c r="A168" s="1" t="s">
        <v>139</v>
      </c>
      <c r="B168" s="1" t="s">
        <v>140</v>
      </c>
      <c r="C168" s="1" t="s">
        <v>775</v>
      </c>
      <c r="D168" s="1" t="s">
        <v>776</v>
      </c>
      <c r="E168" s="1" t="s">
        <v>777</v>
      </c>
      <c r="F168" s="1" t="s">
        <v>778</v>
      </c>
      <c r="G168" s="1" t="s">
        <v>779</v>
      </c>
      <c r="H168" s="1" t="s">
        <v>780</v>
      </c>
    </row>
    <row r="169" customFormat="false" ht="23.25" hidden="false" customHeight="true" outlineLevel="0" collapsed="false">
      <c r="A169" s="1" t="s">
        <v>148</v>
      </c>
      <c r="B169" s="1" t="s">
        <v>149</v>
      </c>
      <c r="C169" s="1" t="s">
        <v>775</v>
      </c>
      <c r="D169" s="1" t="s">
        <v>776</v>
      </c>
      <c r="E169" s="1" t="s">
        <v>777</v>
      </c>
      <c r="F169" s="1" t="s">
        <v>778</v>
      </c>
      <c r="G169" s="1" t="s">
        <v>779</v>
      </c>
      <c r="H169" s="1" t="s">
        <v>780</v>
      </c>
    </row>
    <row r="170" customFormat="false" ht="23.25" hidden="false" customHeight="true" outlineLevel="0" collapsed="false">
      <c r="A170" s="1" t="s">
        <v>152</v>
      </c>
      <c r="B170" s="1" t="s">
        <v>153</v>
      </c>
      <c r="C170" s="1" t="s">
        <v>775</v>
      </c>
      <c r="D170" s="1" t="s">
        <v>776</v>
      </c>
      <c r="E170" s="1" t="s">
        <v>777</v>
      </c>
      <c r="F170" s="1" t="s">
        <v>778</v>
      </c>
      <c r="G170" s="1" t="s">
        <v>779</v>
      </c>
      <c r="H170" s="1" t="s">
        <v>780</v>
      </c>
    </row>
    <row r="171" customFormat="false" ht="15" hidden="false" customHeight="true" outlineLevel="0" collapsed="false">
      <c r="A171" s="1" t="s">
        <v>190</v>
      </c>
      <c r="B171" s="1" t="s">
        <v>191</v>
      </c>
      <c r="C171" s="1" t="s">
        <v>192</v>
      </c>
      <c r="D171" s="1" t="s">
        <v>753</v>
      </c>
      <c r="E171" s="1" t="s">
        <v>687</v>
      </c>
      <c r="F171" s="1" t="s">
        <v>781</v>
      </c>
      <c r="G171" s="1" t="s">
        <v>505</v>
      </c>
      <c r="H171" s="1" t="s">
        <v>782</v>
      </c>
    </row>
    <row r="172" customFormat="false" ht="15" hidden="false" customHeight="true" outlineLevel="0" collapsed="false">
      <c r="A172" s="1" t="s">
        <v>190</v>
      </c>
      <c r="B172" s="1" t="s">
        <v>191</v>
      </c>
      <c r="C172" s="1" t="s">
        <v>192</v>
      </c>
      <c r="D172" s="1" t="s">
        <v>753</v>
      </c>
      <c r="E172" s="1" t="s">
        <v>746</v>
      </c>
      <c r="F172" s="1" t="s">
        <v>783</v>
      </c>
      <c r="G172" s="1" t="s">
        <v>505</v>
      </c>
      <c r="H172" s="1" t="s">
        <v>782</v>
      </c>
    </row>
    <row r="173" customFormat="false" ht="15" hidden="false" customHeight="true" outlineLevel="0" collapsed="false">
      <c r="A173" s="1" t="s">
        <v>190</v>
      </c>
      <c r="B173" s="1" t="s">
        <v>191</v>
      </c>
      <c r="C173" s="1" t="s">
        <v>192</v>
      </c>
      <c r="D173" s="1" t="s">
        <v>753</v>
      </c>
      <c r="E173" s="1" t="s">
        <v>750</v>
      </c>
      <c r="F173" s="1" t="s">
        <v>784</v>
      </c>
      <c r="G173" s="1" t="s">
        <v>505</v>
      </c>
      <c r="H173" s="1" t="s">
        <v>782</v>
      </c>
    </row>
    <row r="174" customFormat="false" ht="15" hidden="false" customHeight="true" outlineLevel="0" collapsed="false">
      <c r="A174" s="1" t="s">
        <v>231</v>
      </c>
      <c r="B174" s="1" t="s">
        <v>232</v>
      </c>
      <c r="C174" s="1" t="s">
        <v>233</v>
      </c>
      <c r="D174" s="1" t="s">
        <v>785</v>
      </c>
      <c r="E174" s="1" t="s">
        <v>767</v>
      </c>
      <c r="F174" s="1" t="s">
        <v>786</v>
      </c>
      <c r="G174" s="1" t="s">
        <v>787</v>
      </c>
      <c r="H174" s="1" t="s">
        <v>788</v>
      </c>
    </row>
    <row r="175" customFormat="false" ht="15" hidden="false" customHeight="true" outlineLevel="0" collapsed="false">
      <c r="A175" s="1" t="s">
        <v>236</v>
      </c>
      <c r="B175" s="1" t="s">
        <v>237</v>
      </c>
      <c r="C175" s="1" t="s">
        <v>233</v>
      </c>
      <c r="D175" s="1" t="s">
        <v>785</v>
      </c>
      <c r="E175" s="1" t="s">
        <v>767</v>
      </c>
      <c r="F175" s="1" t="s">
        <v>786</v>
      </c>
      <c r="G175" s="1" t="s">
        <v>787</v>
      </c>
      <c r="H175" s="1" t="s">
        <v>788</v>
      </c>
    </row>
    <row r="176" customFormat="false" ht="15" hidden="false" customHeight="true" outlineLevel="0" collapsed="false">
      <c r="A176" s="1" t="s">
        <v>231</v>
      </c>
      <c r="B176" s="1" t="s">
        <v>232</v>
      </c>
      <c r="C176" s="1" t="s">
        <v>233</v>
      </c>
      <c r="D176" s="1" t="s">
        <v>785</v>
      </c>
      <c r="E176" s="1" t="s">
        <v>673</v>
      </c>
      <c r="F176" s="1" t="s">
        <v>789</v>
      </c>
      <c r="G176" s="1" t="s">
        <v>787</v>
      </c>
      <c r="H176" s="1" t="s">
        <v>788</v>
      </c>
    </row>
    <row r="177" customFormat="false" ht="15" hidden="false" customHeight="true" outlineLevel="0" collapsed="false">
      <c r="A177" s="1" t="s">
        <v>236</v>
      </c>
      <c r="B177" s="1" t="s">
        <v>237</v>
      </c>
      <c r="C177" s="1" t="s">
        <v>233</v>
      </c>
      <c r="D177" s="1" t="s">
        <v>785</v>
      </c>
      <c r="E177" s="1" t="s">
        <v>673</v>
      </c>
      <c r="F177" s="1" t="s">
        <v>789</v>
      </c>
      <c r="G177" s="1" t="s">
        <v>787</v>
      </c>
      <c r="H177" s="1" t="s">
        <v>788</v>
      </c>
    </row>
    <row r="178" customFormat="false" ht="15" hidden="false" customHeight="true" outlineLevel="0" collapsed="false">
      <c r="A178" s="1" t="s">
        <v>221</v>
      </c>
      <c r="B178" s="1" t="s">
        <v>222</v>
      </c>
      <c r="C178" s="1" t="s">
        <v>223</v>
      </c>
      <c r="D178" s="1" t="s">
        <v>785</v>
      </c>
      <c r="E178" s="1" t="s">
        <v>677</v>
      </c>
      <c r="F178" s="1" t="s">
        <v>790</v>
      </c>
      <c r="G178" s="1" t="s">
        <v>787</v>
      </c>
      <c r="H178" s="1" t="s">
        <v>788</v>
      </c>
    </row>
    <row r="179" customFormat="false" ht="15" hidden="false" customHeight="true" outlineLevel="0" collapsed="false">
      <c r="A179" s="1" t="s">
        <v>206</v>
      </c>
      <c r="B179" s="1" t="s">
        <v>207</v>
      </c>
      <c r="C179" s="1" t="s">
        <v>208</v>
      </c>
      <c r="D179" s="1" t="s">
        <v>785</v>
      </c>
      <c r="E179" s="1" t="s">
        <v>791</v>
      </c>
      <c r="F179" s="1" t="s">
        <v>792</v>
      </c>
      <c r="G179" s="1" t="s">
        <v>787</v>
      </c>
      <c r="H179" s="1" t="s">
        <v>793</v>
      </c>
    </row>
    <row r="180" customFormat="false" ht="15" hidden="false" customHeight="true" outlineLevel="0" collapsed="false">
      <c r="A180" s="1" t="s">
        <v>206</v>
      </c>
      <c r="B180" s="1" t="s">
        <v>207</v>
      </c>
      <c r="C180" s="1" t="s">
        <v>208</v>
      </c>
      <c r="D180" s="1" t="s">
        <v>785</v>
      </c>
      <c r="E180" s="1" t="s">
        <v>746</v>
      </c>
      <c r="F180" s="1" t="s">
        <v>794</v>
      </c>
      <c r="G180" s="1" t="s">
        <v>787</v>
      </c>
      <c r="H180" s="1" t="s">
        <v>793</v>
      </c>
    </row>
    <row r="181" customFormat="false" ht="15" hidden="false" customHeight="true" outlineLevel="0" collapsed="false">
      <c r="A181" s="1" t="s">
        <v>216</v>
      </c>
      <c r="B181" s="1" t="s">
        <v>217</v>
      </c>
      <c r="C181" s="1" t="s">
        <v>218</v>
      </c>
      <c r="D181" s="1" t="s">
        <v>785</v>
      </c>
      <c r="E181" s="1" t="s">
        <v>791</v>
      </c>
      <c r="F181" s="1" t="s">
        <v>795</v>
      </c>
      <c r="G181" s="1" t="s">
        <v>787</v>
      </c>
      <c r="H181" s="1" t="s">
        <v>793</v>
      </c>
    </row>
    <row r="182" customFormat="false" ht="15" hidden="false" customHeight="true" outlineLevel="0" collapsed="false">
      <c r="A182" s="1" t="s">
        <v>216</v>
      </c>
      <c r="B182" s="1" t="s">
        <v>217</v>
      </c>
      <c r="C182" s="1" t="s">
        <v>218</v>
      </c>
      <c r="D182" s="1" t="s">
        <v>785</v>
      </c>
      <c r="E182" s="1" t="s">
        <v>675</v>
      </c>
      <c r="F182" s="1" t="s">
        <v>796</v>
      </c>
      <c r="G182" s="1" t="s">
        <v>787</v>
      </c>
      <c r="H182" s="1" t="s">
        <v>793</v>
      </c>
    </row>
    <row r="183" customFormat="false" ht="15" hidden="false" customHeight="true" outlineLevel="0" collapsed="false">
      <c r="A183" s="1" t="s">
        <v>221</v>
      </c>
      <c r="B183" s="1" t="s">
        <v>222</v>
      </c>
      <c r="C183" s="1" t="s">
        <v>223</v>
      </c>
      <c r="D183" s="1" t="s">
        <v>797</v>
      </c>
      <c r="E183" s="1" t="s">
        <v>798</v>
      </c>
      <c r="F183" s="1" t="s">
        <v>799</v>
      </c>
      <c r="G183" s="1" t="s">
        <v>800</v>
      </c>
      <c r="H183" s="1" t="s">
        <v>788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4" min="3" style="1" width="16"/>
  </cols>
  <sheetData>
    <row r="1" customFormat="false" ht="15" hidden="false" customHeight="true" outlineLevel="0" collapsed="false">
      <c r="A1" s="4" t="s">
        <v>801</v>
      </c>
      <c r="B1" s="5"/>
      <c r="C1" s="5"/>
      <c r="D1" s="5"/>
    </row>
    <row r="2" customFormat="false" ht="15" hidden="false" customHeight="true" outlineLevel="0" collapsed="false">
      <c r="A2" s="5"/>
      <c r="B2" s="5"/>
      <c r="C2" s="5"/>
      <c r="D2" s="5"/>
    </row>
    <row r="3" customFormat="false" ht="23.25" hidden="false" customHeight="true" outlineLevel="0" collapsed="false">
      <c r="A3" s="40" t="s">
        <v>802</v>
      </c>
      <c r="B3" s="40" t="s">
        <v>803</v>
      </c>
      <c r="C3" s="40" t="s">
        <v>804</v>
      </c>
      <c r="D3" s="40" t="s">
        <v>805</v>
      </c>
    </row>
    <row r="4" customFormat="false" ht="15" hidden="false" customHeight="true" outlineLevel="0" collapsed="false">
      <c r="A4" s="62" t="n">
        <v>38868</v>
      </c>
      <c r="B4" s="72" t="n">
        <v>1380043487.53</v>
      </c>
      <c r="C4" s="73" t="n">
        <v>0.3356</v>
      </c>
      <c r="D4" s="5"/>
    </row>
    <row r="5" customFormat="false" ht="15" hidden="false" customHeight="true" outlineLevel="0" collapsed="false">
      <c r="A5" s="62" t="n">
        <v>38898</v>
      </c>
      <c r="B5" s="72" t="n">
        <v>1353249969.08</v>
      </c>
      <c r="C5" s="73" t="n">
        <v>0.1953</v>
      </c>
      <c r="D5" s="5"/>
    </row>
    <row r="6" customFormat="false" ht="15" hidden="false" customHeight="true" outlineLevel="0" collapsed="false">
      <c r="A6" s="62" t="n">
        <v>38929</v>
      </c>
      <c r="B6" s="72" t="n">
        <v>1327391212.12</v>
      </c>
      <c r="C6" s="73" t="n">
        <v>0.1922</v>
      </c>
      <c r="D6" s="5"/>
    </row>
    <row r="7" customFormat="false" ht="15" hidden="false" customHeight="true" outlineLevel="0" collapsed="false">
      <c r="A7" s="62" t="n">
        <v>38960</v>
      </c>
      <c r="B7" s="72" t="n">
        <v>1315540418.08</v>
      </c>
      <c r="C7" s="73" t="n">
        <v>0.0856</v>
      </c>
      <c r="D7" s="5"/>
    </row>
    <row r="8" customFormat="false" ht="15" hidden="false" customHeight="true" outlineLevel="0" collapsed="false">
      <c r="A8" s="62" t="n">
        <v>38990</v>
      </c>
      <c r="B8" s="72" t="n">
        <v>1297490943.21</v>
      </c>
      <c r="C8" s="73" t="n">
        <v>0.1372</v>
      </c>
      <c r="D8" s="5"/>
    </row>
    <row r="9" customFormat="false" ht="15" hidden="false" customHeight="true" outlineLevel="0" collapsed="false">
      <c r="A9" s="62" t="n">
        <v>39021</v>
      </c>
      <c r="B9" s="72" t="n">
        <v>1275442619.04</v>
      </c>
      <c r="C9" s="73" t="n">
        <v>0.1708</v>
      </c>
      <c r="D9" s="5"/>
    </row>
    <row r="10" customFormat="false" ht="15" hidden="false" customHeight="true" outlineLevel="0" collapsed="false">
      <c r="A10" s="62" t="n">
        <v>39051</v>
      </c>
      <c r="B10" s="72" t="n">
        <v>1258146654.54</v>
      </c>
      <c r="C10" s="73" t="n">
        <v>0.1353</v>
      </c>
      <c r="D10" s="5"/>
    </row>
    <row r="11" customFormat="false" ht="15" hidden="false" customHeight="true" outlineLevel="0" collapsed="false">
      <c r="A11" s="62" t="n">
        <v>39082</v>
      </c>
      <c r="B11" s="72" t="n">
        <v>1237697663.85</v>
      </c>
      <c r="C11" s="73" t="n">
        <v>0.1632</v>
      </c>
      <c r="D11" s="5"/>
    </row>
    <row r="12" customFormat="false" ht="15" hidden="false" customHeight="true" outlineLevel="0" collapsed="false">
      <c r="A12" s="62" t="n">
        <v>39113</v>
      </c>
      <c r="B12" s="72" t="n">
        <v>1223628940.59</v>
      </c>
      <c r="C12" s="73" t="n">
        <v>0.1118</v>
      </c>
      <c r="D12" s="5"/>
    </row>
    <row r="13" customFormat="false" ht="15" hidden="false" customHeight="true" outlineLevel="0" collapsed="false">
      <c r="A13" s="62" t="n">
        <v>39141</v>
      </c>
      <c r="B13" s="72" t="n">
        <v>1204243585.17</v>
      </c>
      <c r="C13" s="73" t="n">
        <v>0.1588</v>
      </c>
      <c r="D13" s="5"/>
    </row>
    <row r="14" customFormat="false" ht="15" hidden="false" customHeight="true" outlineLevel="0" collapsed="false">
      <c r="A14" s="62" t="n">
        <v>39172</v>
      </c>
      <c r="B14" s="72" t="n">
        <v>1179024458.45</v>
      </c>
      <c r="C14" s="73" t="n">
        <v>0.2096</v>
      </c>
      <c r="D14" s="5"/>
    </row>
    <row r="15" customFormat="false" ht="15" hidden="false" customHeight="true" outlineLevel="0" collapsed="false">
      <c r="A15" s="62" t="n">
        <v>39202</v>
      </c>
      <c r="B15" s="72" t="n">
        <v>1161496331.55</v>
      </c>
      <c r="C15" s="73" t="n">
        <v>0.1486</v>
      </c>
      <c r="D15" s="74" t="n">
        <f aca="false">AVERAGE(C4:C15)</f>
        <v>0.170333333333333</v>
      </c>
    </row>
    <row r="16" customFormat="false" ht="15" hidden="false" customHeight="true" outlineLevel="0" collapsed="false">
      <c r="A16" s="62" t="n">
        <v>39233</v>
      </c>
      <c r="B16" s="72" t="n">
        <v>1142960875.12</v>
      </c>
      <c r="C16" s="73" t="n">
        <v>0.1598</v>
      </c>
      <c r="D16" s="74" t="n">
        <f aca="false">AVERAGE(C5:C16)</f>
        <v>0.155683333333333</v>
      </c>
    </row>
    <row r="17" customFormat="false" ht="15" hidden="false" customHeight="true" outlineLevel="0" collapsed="false">
      <c r="A17" s="62" t="n">
        <v>39263</v>
      </c>
      <c r="B17" s="72" t="n">
        <v>1123052569.05</v>
      </c>
      <c r="C17" s="73" t="n">
        <v>0.1745</v>
      </c>
      <c r="D17" s="74" t="n">
        <f aca="false">AVERAGE(C6:C17)</f>
        <v>0.15395</v>
      </c>
    </row>
    <row r="18" customFormat="false" ht="15" hidden="false" customHeight="true" outlineLevel="0" collapsed="false">
      <c r="A18" s="62" t="n">
        <v>39294</v>
      </c>
      <c r="B18" s="72" t="n">
        <v>1101396337.69</v>
      </c>
      <c r="C18" s="73" t="n">
        <v>0.1931</v>
      </c>
      <c r="D18" s="74" t="n">
        <f aca="false">AVERAGE(C7:C18)</f>
        <v>0.154025</v>
      </c>
    </row>
    <row r="19" customFormat="false" ht="15" hidden="false" customHeight="true" outlineLevel="0" collapsed="false">
      <c r="A19" s="62" t="n">
        <v>39325</v>
      </c>
      <c r="B19" s="72" t="n">
        <v>1091486277.77</v>
      </c>
      <c r="C19" s="73" t="n">
        <v>0.0853</v>
      </c>
      <c r="D19" s="74" t="n">
        <f aca="false">AVERAGE(C8:C19)</f>
        <v>0.154</v>
      </c>
    </row>
    <row r="20" customFormat="false" ht="15" hidden="false" customHeight="true" outlineLevel="0" collapsed="false">
      <c r="A20" s="62" t="n">
        <v>39355</v>
      </c>
      <c r="B20" s="72" t="n">
        <v>1075361579.59</v>
      </c>
      <c r="C20" s="73" t="n">
        <v>0.1472</v>
      </c>
      <c r="D20" s="74" t="n">
        <f aca="false">AVERAGE(C9:C20)</f>
        <v>0.154833333333333</v>
      </c>
    </row>
    <row r="21" customFormat="false" ht="15" hidden="false" customHeight="true" outlineLevel="0" collapsed="false">
      <c r="A21" s="62" t="n">
        <v>39386</v>
      </c>
      <c r="B21" s="72" t="n">
        <v>1064435247.8</v>
      </c>
      <c r="C21" s="73" t="n">
        <v>0.098</v>
      </c>
      <c r="D21" s="74" t="n">
        <f aca="false">AVERAGE(C10:C21)</f>
        <v>0.148766666666667</v>
      </c>
    </row>
    <row r="22" customFormat="false" ht="15" hidden="false" customHeight="true" outlineLevel="0" collapsed="false">
      <c r="A22" s="62" t="n">
        <v>39416</v>
      </c>
      <c r="B22" s="72" t="n">
        <v>1052639111.52</v>
      </c>
      <c r="C22" s="73" t="n">
        <v>0.1079</v>
      </c>
      <c r="D22" s="74" t="n">
        <f aca="false">AVERAGE(C11:C22)</f>
        <v>0.146483333333333</v>
      </c>
    </row>
    <row r="23" customFormat="false" ht="15" hidden="false" customHeight="true" outlineLevel="0" collapsed="false">
      <c r="A23" s="62" t="n">
        <v>39447</v>
      </c>
      <c r="B23" s="72" t="n">
        <v>1042056670.85</v>
      </c>
      <c r="C23" s="73" t="n">
        <v>0.0966</v>
      </c>
      <c r="D23" s="74" t="n">
        <f aca="false">AVERAGE(C12:C23)</f>
        <v>0.140933333333333</v>
      </c>
    </row>
    <row r="24" customFormat="false" ht="15" hidden="false" customHeight="true" outlineLevel="0" collapsed="false">
      <c r="A24" s="62" t="n">
        <v>39478</v>
      </c>
      <c r="B24" s="72" t="n">
        <v>1031569624.24</v>
      </c>
      <c r="C24" s="73" t="n">
        <v>0.0966</v>
      </c>
      <c r="D24" s="74" t="n">
        <f aca="false">AVERAGE(C13:C24)</f>
        <v>0.139666666666667</v>
      </c>
    </row>
    <row r="25" customFormat="false" ht="15" hidden="false" customHeight="true" outlineLevel="0" collapsed="false">
      <c r="A25" s="62" t="n">
        <v>39507</v>
      </c>
      <c r="B25" s="72" t="n">
        <v>1022457994.61</v>
      </c>
      <c r="C25" s="73" t="n">
        <v>0.083</v>
      </c>
      <c r="D25" s="74" t="n">
        <f aca="false">AVERAGE(C14:C25)</f>
        <v>0.13335</v>
      </c>
    </row>
    <row r="26" customFormat="false" ht="15" hidden="false" customHeight="true" outlineLevel="0" collapsed="false">
      <c r="A26" s="62" t="n">
        <v>39538</v>
      </c>
      <c r="B26" s="72" t="n">
        <v>1014169355.03</v>
      </c>
      <c r="C26" s="73" t="n">
        <v>0.0748</v>
      </c>
      <c r="D26" s="74" t="n">
        <f aca="false">AVERAGE(C15:C26)</f>
        <v>0.122116666666667</v>
      </c>
    </row>
    <row r="27" customFormat="false" ht="15" hidden="false" customHeight="true" outlineLevel="0" collapsed="false">
      <c r="A27" s="62" t="n">
        <v>39568</v>
      </c>
      <c r="B27" s="72" t="n">
        <v>1006555566.61</v>
      </c>
      <c r="C27" s="73" t="n">
        <v>0.068</v>
      </c>
      <c r="D27" s="74" t="n">
        <f aca="false">AVERAGE(C16:C27)</f>
        <v>0.1154</v>
      </c>
    </row>
    <row r="28" customFormat="false" ht="15" hidden="false" customHeight="true" outlineLevel="0" collapsed="false">
      <c r="A28" s="62" t="n">
        <v>39599</v>
      </c>
      <c r="B28" s="72" t="n">
        <v>998584597.38</v>
      </c>
      <c r="C28" s="73" t="n">
        <v>0.0725</v>
      </c>
      <c r="D28" s="74" t="n">
        <f aca="false">AVERAGE(C17:C28)</f>
        <v>0.108125</v>
      </c>
    </row>
    <row r="29" customFormat="false" ht="15" hidden="false" customHeight="true" outlineLevel="0" collapsed="false">
      <c r="A29" s="62" t="n">
        <v>39629</v>
      </c>
      <c r="B29" s="72" t="n">
        <v>990175042.13</v>
      </c>
      <c r="C29" s="73" t="n">
        <v>0.078</v>
      </c>
      <c r="D29" s="74" t="n">
        <f aca="false">AVERAGE(C18:C29)</f>
        <v>0.100083333333333</v>
      </c>
    </row>
    <row r="30" customFormat="false" ht="15" hidden="false" customHeight="true" outlineLevel="0" collapsed="false">
      <c r="A30" s="62" t="n">
        <v>39660</v>
      </c>
      <c r="B30" s="72" t="n">
        <v>983543547.82</v>
      </c>
      <c r="C30" s="73" t="n">
        <v>0.0585</v>
      </c>
      <c r="D30" s="74" t="n">
        <f aca="false">AVERAGE(C19:C30)</f>
        <v>0.0888666666666667</v>
      </c>
    </row>
    <row r="31" customFormat="false" ht="15" hidden="false" customHeight="true" outlineLevel="0" collapsed="false">
      <c r="A31" s="62" t="n">
        <v>39691</v>
      </c>
      <c r="B31" s="72" t="n">
        <v>985241602.52</v>
      </c>
      <c r="C31" s="73" t="n">
        <v>-0.042</v>
      </c>
      <c r="D31" s="74" t="n">
        <f aca="false">AVERAGE(C20:C31)</f>
        <v>0.0782583333333333</v>
      </c>
    </row>
    <row r="32" customFormat="false" ht="15" hidden="false" customHeight="true" outlineLevel="0" collapsed="false">
      <c r="A32" s="62" t="n">
        <v>39721</v>
      </c>
      <c r="B32" s="72" t="n">
        <v>980988583.26</v>
      </c>
      <c r="C32" s="73" t="n">
        <v>0.0309</v>
      </c>
      <c r="D32" s="74" t="n">
        <f aca="false">AVERAGE(C21:C32)</f>
        <v>0.0685666666666667</v>
      </c>
    </row>
    <row r="33" customFormat="false" ht="15" hidden="false" customHeight="true" outlineLevel="0" collapsed="false">
      <c r="A33" s="62" t="n">
        <v>39752</v>
      </c>
      <c r="B33" s="72" t="n">
        <v>967051291.16</v>
      </c>
      <c r="C33" s="73" t="n">
        <v>0.1402</v>
      </c>
      <c r="D33" s="74" t="n">
        <f aca="false">AVERAGE(C22:C33)</f>
        <v>0.0720833333333333</v>
      </c>
    </row>
    <row r="34" customFormat="false" ht="15" hidden="false" customHeight="true" outlineLevel="0" collapsed="false">
      <c r="A34" s="62" t="n">
        <v>39782</v>
      </c>
      <c r="B34" s="72" t="n">
        <v>961368402.37</v>
      </c>
      <c r="C34" s="73" t="n">
        <v>0.0487</v>
      </c>
      <c r="D34" s="74" t="n">
        <f aca="false">AVERAGE(C23:C34)</f>
        <v>0.06715</v>
      </c>
    </row>
    <row r="35" customFormat="false" ht="15" hidden="false" customHeight="true" outlineLevel="0" collapsed="false">
      <c r="A35" s="62" t="n">
        <v>39813</v>
      </c>
      <c r="B35" s="72" t="n">
        <v>954925810.28</v>
      </c>
      <c r="C35" s="73" t="n">
        <v>0.0581</v>
      </c>
      <c r="D35" s="74" t="n">
        <f aca="false">AVERAGE(C24:C35)</f>
        <v>0.0639416666666667</v>
      </c>
    </row>
    <row r="36" customFormat="false" ht="15" hidden="false" customHeight="true" outlineLevel="0" collapsed="false">
      <c r="A36" s="62" t="n">
        <v>39844</v>
      </c>
      <c r="B36" s="72" t="n">
        <v>950099266.39</v>
      </c>
      <c r="C36" s="73" t="n">
        <v>0.0391</v>
      </c>
      <c r="D36" s="74" t="n">
        <f aca="false">AVERAGE(C25:C36)</f>
        <v>0.05915</v>
      </c>
    </row>
    <row r="37" customFormat="false" ht="15" hidden="false" customHeight="true" outlineLevel="0" collapsed="false">
      <c r="A37" s="62" t="n">
        <v>39872</v>
      </c>
      <c r="B37" s="72" t="n">
        <v>944260166.47</v>
      </c>
      <c r="C37" s="73" t="n">
        <v>0.0515</v>
      </c>
      <c r="D37" s="74" t="n">
        <f aca="false">AVERAGE(C26:C37)</f>
        <v>0.056525</v>
      </c>
    </row>
    <row r="38" customFormat="false" ht="15" hidden="false" customHeight="true" outlineLevel="0" collapsed="false">
      <c r="A38" s="62" t="n">
        <v>39903</v>
      </c>
      <c r="B38" s="72" t="n">
        <v>936820045.34</v>
      </c>
      <c r="C38" s="73" t="n">
        <v>0.0711</v>
      </c>
      <c r="D38" s="74" t="n">
        <f aca="false">AVERAGE(C27:C38)</f>
        <v>0.0562166666666667</v>
      </c>
    </row>
    <row r="39" customFormat="false" ht="15" hidden="false" customHeight="true" outlineLevel="0" collapsed="false">
      <c r="A39" s="62" t="n">
        <v>39933</v>
      </c>
      <c r="B39" s="72" t="n">
        <v>931491274.54</v>
      </c>
      <c r="C39" s="73" t="n">
        <v>0.0461</v>
      </c>
      <c r="D39" s="74" t="n">
        <f aca="false">AVERAGE(C28:C39)</f>
        <v>0.0543916666666667</v>
      </c>
    </row>
    <row r="40" customFormat="false" ht="15" hidden="false" customHeight="true" outlineLevel="0" collapsed="false">
      <c r="A40" s="62" t="n">
        <v>39964</v>
      </c>
      <c r="B40" s="72" t="n">
        <v>925020233.76</v>
      </c>
      <c r="C40" s="73" t="n">
        <v>0.0604</v>
      </c>
      <c r="D40" s="74" t="n">
        <f aca="false">AVERAGE(C29:C40)</f>
        <v>0.0533833333333333</v>
      </c>
    </row>
    <row r="41" customFormat="false" ht="15" hidden="false" customHeight="true" outlineLevel="0" collapsed="false">
      <c r="A41" s="62" t="n">
        <v>39994</v>
      </c>
      <c r="B41" s="72" t="n">
        <v>916684024.78</v>
      </c>
      <c r="C41" s="73" t="n">
        <v>0.0834</v>
      </c>
      <c r="D41" s="74" t="n">
        <f aca="false">AVERAGE(C30:C41)</f>
        <v>0.0538333333333333</v>
      </c>
    </row>
    <row r="42" customFormat="false" ht="15" hidden="false" customHeight="true" outlineLevel="0" collapsed="false">
      <c r="A42" s="62" t="n">
        <v>40025</v>
      </c>
      <c r="B42" s="72" t="n">
        <v>909495828.22</v>
      </c>
      <c r="C42" s="73" t="n">
        <v>0.0703</v>
      </c>
      <c r="D42" s="74" t="n">
        <f aca="false">AVERAGE(C31:C42)</f>
        <v>0.0548166666666667</v>
      </c>
    </row>
    <row r="43" customFormat="false" ht="15" hidden="false" customHeight="true" outlineLevel="0" collapsed="false">
      <c r="A43" s="62" t="n">
        <v>40056</v>
      </c>
      <c r="B43" s="72" t="n">
        <v>904644124.4</v>
      </c>
      <c r="C43" s="73" t="n">
        <v>0.0416</v>
      </c>
      <c r="D43" s="74" t="n">
        <f aca="false">AVERAGE(C32:C43)</f>
        <v>0.0617833333333333</v>
      </c>
    </row>
    <row r="44" customFormat="false" ht="15" hidden="false" customHeight="true" outlineLevel="0" collapsed="false">
      <c r="A44" s="62" t="n">
        <v>40086</v>
      </c>
      <c r="B44" s="72" t="n">
        <v>898264885.57</v>
      </c>
      <c r="C44" s="73" t="n">
        <v>0.0611</v>
      </c>
      <c r="D44" s="74" t="n">
        <f aca="false">AVERAGE(C33:C44)</f>
        <v>0.0643</v>
      </c>
    </row>
    <row r="45" customFormat="false" ht="15" hidden="false" customHeight="true" outlineLevel="0" collapsed="false">
      <c r="A45" s="62" t="n">
        <v>40117</v>
      </c>
      <c r="B45" s="72" t="n">
        <v>890862284.36</v>
      </c>
      <c r="C45" s="73" t="n">
        <v>0.0744</v>
      </c>
      <c r="D45" s="74" t="n">
        <f aca="false">AVERAGE(C34:C45)</f>
        <v>0.0588166666666667</v>
      </c>
    </row>
    <row r="46" customFormat="false" ht="15" hidden="false" customHeight="true" outlineLevel="0" collapsed="false">
      <c r="A46" s="62" t="n">
        <v>40147</v>
      </c>
      <c r="B46" s="72" t="n">
        <v>884524551.82</v>
      </c>
      <c r="C46" s="73" t="n">
        <v>0.0616</v>
      </c>
      <c r="D46" s="74" t="n">
        <f aca="false">AVERAGE(C35:C46)</f>
        <v>0.0598916666666667</v>
      </c>
    </row>
    <row r="47" customFormat="false" ht="15" hidden="false" customHeight="true" outlineLevel="0" collapsed="false">
      <c r="A47" s="62" t="n">
        <v>40178</v>
      </c>
      <c r="B47" s="72" t="n">
        <v>877748978.7</v>
      </c>
      <c r="C47" s="73" t="n">
        <v>0.0677</v>
      </c>
      <c r="D47" s="74" t="n">
        <f aca="false">AVERAGE(C36:C47)</f>
        <v>0.0606916666666667</v>
      </c>
    </row>
    <row r="48" customFormat="false" ht="15" hidden="false" customHeight="true" outlineLevel="0" collapsed="false">
      <c r="A48" s="62" t="n">
        <v>40209</v>
      </c>
      <c r="B48" s="72" t="n">
        <v>869514857.72</v>
      </c>
      <c r="C48" s="73" t="n">
        <v>0.0868</v>
      </c>
      <c r="D48" s="74" t="n">
        <f aca="false">AVERAGE(C37:C48)</f>
        <v>0.0646666666666667</v>
      </c>
    </row>
    <row r="49" customFormat="false" ht="15" hidden="false" customHeight="true" outlineLevel="0" collapsed="false">
      <c r="A49" s="62" t="n">
        <v>40237</v>
      </c>
      <c r="B49" s="72" t="n">
        <v>863787994.9</v>
      </c>
      <c r="C49" s="73" t="n">
        <v>0.0553</v>
      </c>
      <c r="D49" s="74" t="n">
        <f aca="false">AVERAGE(C38:C49)</f>
        <v>0.0649833333333333</v>
      </c>
    </row>
    <row r="50" customFormat="false" ht="15" hidden="false" customHeight="true" outlineLevel="0" collapsed="false">
      <c r="A50" s="62" t="n">
        <v>40268</v>
      </c>
      <c r="B50" s="72" t="n">
        <v>857025226.48</v>
      </c>
      <c r="C50" s="73" t="n">
        <v>0.0693</v>
      </c>
      <c r="D50" s="74" t="n">
        <f aca="false">AVERAGE(C39:C50)</f>
        <v>0.0648333333333333</v>
      </c>
    </row>
    <row r="51" customFormat="false" ht="15" hidden="false" customHeight="true" outlineLevel="0" collapsed="false">
      <c r="A51" s="62" t="n">
        <v>40298</v>
      </c>
      <c r="B51" s="72" t="n">
        <v>851593316.56</v>
      </c>
      <c r="C51" s="73" t="n">
        <v>0.0523</v>
      </c>
      <c r="D51" s="74" t="n">
        <f aca="false">AVERAGE(C40:C51)</f>
        <v>0.06535</v>
      </c>
    </row>
    <row r="52" customFormat="false" ht="15" hidden="false" customHeight="true" outlineLevel="0" collapsed="false">
      <c r="A52" s="62" t="n">
        <v>40329</v>
      </c>
      <c r="B52" s="72" t="n">
        <v>845767853.41</v>
      </c>
      <c r="C52" s="73" t="n">
        <v>0.0579</v>
      </c>
      <c r="D52" s="74" t="n">
        <f aca="false">AVERAGE(C41:C52)</f>
        <v>0.0651416666666667</v>
      </c>
    </row>
    <row r="53" customFormat="false" ht="15" hidden="false" customHeight="true" outlineLevel="0" collapsed="false">
      <c r="A53" s="62" t="n">
        <v>40359</v>
      </c>
      <c r="B53" s="72" t="n">
        <v>836928310.84</v>
      </c>
      <c r="C53" s="73" t="n">
        <v>0.0981</v>
      </c>
      <c r="D53" s="74" t="n">
        <f aca="false">AVERAGE(C42:C53)</f>
        <v>0.0663666666666667</v>
      </c>
    </row>
    <row r="54" customFormat="false" ht="15" hidden="false" customHeight="true" outlineLevel="0" collapsed="false">
      <c r="A54" s="62" t="n">
        <v>40390</v>
      </c>
      <c r="B54" s="72" t="n">
        <v>828049732.05</v>
      </c>
      <c r="C54" s="73" t="n">
        <v>0.0997</v>
      </c>
      <c r="D54" s="74" t="n">
        <f aca="false">AVERAGE(C43:C54)</f>
        <v>0.0688166666666667</v>
      </c>
    </row>
    <row r="55" customFormat="false" ht="15" hidden="false" customHeight="true" outlineLevel="0" collapsed="false">
      <c r="A55" s="62" t="n">
        <v>40421</v>
      </c>
      <c r="B55" s="72" t="n">
        <v>822803112.58</v>
      </c>
      <c r="C55" s="73" t="n">
        <v>0.0518</v>
      </c>
      <c r="D55" s="74" t="n">
        <f aca="false">AVERAGE(C44:C55)</f>
        <v>0.0696666666666667</v>
      </c>
    </row>
    <row r="56" customFormat="false" ht="15" hidden="false" customHeight="true" outlineLevel="0" collapsed="false">
      <c r="A56" s="62" t="n">
        <v>40451</v>
      </c>
      <c r="B56" s="72" t="n">
        <v>815621494.23</v>
      </c>
      <c r="C56" s="73" t="n">
        <v>0.0787</v>
      </c>
      <c r="D56" s="74" t="n">
        <f aca="false">AVERAGE(C45:C56)</f>
        <v>0.0711333333333333</v>
      </c>
    </row>
    <row r="57" customFormat="false" ht="15" hidden="false" customHeight="true" outlineLevel="0" collapsed="false">
      <c r="A57" s="62" t="n">
        <v>40482</v>
      </c>
      <c r="B57" s="72" t="n">
        <v>809499327.95</v>
      </c>
      <c r="C57" s="73" t="n">
        <v>0.0649</v>
      </c>
      <c r="D57" s="74" t="n">
        <f aca="false">AVERAGE(C46:C57)</f>
        <v>0.0703416666666667</v>
      </c>
    </row>
    <row r="58" customFormat="false" ht="15" hidden="false" customHeight="true" outlineLevel="0" collapsed="false">
      <c r="A58" s="62" t="n">
        <v>40512</v>
      </c>
      <c r="B58" s="72" t="n">
        <v>802308952.86</v>
      </c>
      <c r="C58" s="73" t="n">
        <v>0.0802</v>
      </c>
      <c r="D58" s="74" t="n">
        <f aca="false">AVERAGE(C47:C58)</f>
        <v>0.0718916666666667</v>
      </c>
    </row>
    <row r="59" customFormat="false" ht="15" hidden="false" customHeight="true" outlineLevel="0" collapsed="false">
      <c r="A59" s="62" t="n">
        <v>40543</v>
      </c>
      <c r="B59" s="72" t="n">
        <v>797750452.49</v>
      </c>
      <c r="C59" s="73" t="n">
        <v>0.0439</v>
      </c>
      <c r="D59" s="74" t="n">
        <f aca="false">AVERAGE(C48:C59)</f>
        <v>0.0699083333333333</v>
      </c>
    </row>
    <row r="60" customFormat="false" ht="15" hidden="false" customHeight="true" outlineLevel="0" collapsed="false">
      <c r="A60" s="62" t="n">
        <v>40574</v>
      </c>
      <c r="B60" s="72" t="n">
        <v>791819492.28</v>
      </c>
      <c r="C60" s="73" t="n">
        <v>0.0638</v>
      </c>
      <c r="D60" s="74" t="n">
        <f aca="false">AVERAGE(C49:C60)</f>
        <v>0.0679916666666667</v>
      </c>
    </row>
    <row r="61" customFormat="false" ht="15" hidden="false" customHeight="true" outlineLevel="0" collapsed="false">
      <c r="A61" s="62" t="n">
        <v>40602</v>
      </c>
      <c r="B61" s="72" t="n">
        <v>787459136.58</v>
      </c>
      <c r="C61" s="73" t="n">
        <v>0.0416</v>
      </c>
      <c r="D61" s="74" t="n">
        <f aca="false">AVERAGE(C50:C61)</f>
        <v>0.06685</v>
      </c>
    </row>
    <row r="62" customFormat="false" ht="15" hidden="false" customHeight="true" outlineLevel="0" collapsed="false">
      <c r="A62" s="62" t="n">
        <v>40633</v>
      </c>
      <c r="B62" s="72" t="n">
        <v>781979146.09</v>
      </c>
      <c r="C62" s="73" t="n">
        <v>0.0581</v>
      </c>
      <c r="D62" s="74" t="n">
        <f aca="false">AVERAGE(C51:C62)</f>
        <v>0.0659166666666667</v>
      </c>
    </row>
    <row r="63" customFormat="false" ht="15" hidden="false" customHeight="true" outlineLevel="0" collapsed="false">
      <c r="A63" s="62" t="n">
        <v>40663</v>
      </c>
      <c r="B63" s="72" t="n">
        <v>777549645.46</v>
      </c>
      <c r="C63" s="73" t="n">
        <v>0.0432</v>
      </c>
      <c r="D63" s="74" t="n">
        <f aca="false">AVERAGE(C52:C63)</f>
        <v>0.0651583333333333</v>
      </c>
    </row>
    <row r="64" customFormat="false" ht="15" hidden="false" customHeight="true" outlineLevel="0" collapsed="false">
      <c r="A64" s="62" t="n">
        <v>40694</v>
      </c>
      <c r="B64" s="72" t="n">
        <v>773708773.59</v>
      </c>
      <c r="C64" s="73" t="n">
        <v>0.0346</v>
      </c>
      <c r="D64" s="74" t="n">
        <f aca="false">AVERAGE(C53:C64)</f>
        <v>0.0632166666666667</v>
      </c>
    </row>
    <row r="65" customFormat="false" ht="15" hidden="false" customHeight="true" outlineLevel="0" collapsed="false">
      <c r="A65" s="62" t="n">
        <v>40724</v>
      </c>
      <c r="B65" s="72" t="n">
        <v>769406717.01</v>
      </c>
      <c r="C65" s="73" t="n">
        <v>0.0417</v>
      </c>
      <c r="D65" s="74" t="n">
        <f aca="false">AVERAGE(C54:C65)</f>
        <v>0.0585166666666667</v>
      </c>
    </row>
    <row r="66" customFormat="false" ht="15" hidden="false" customHeight="true" outlineLevel="0" collapsed="false">
      <c r="A66" s="62" t="n">
        <v>40755</v>
      </c>
      <c r="B66" s="72" t="n">
        <v>761747749.92</v>
      </c>
      <c r="C66" s="73" t="n">
        <v>0.0912</v>
      </c>
      <c r="D66" s="74" t="n">
        <f aca="false">AVERAGE(C55:C66)</f>
        <v>0.0578083333333333</v>
      </c>
    </row>
    <row r="67" customFormat="false" ht="15" hidden="false" customHeight="true" outlineLevel="0" collapsed="false">
      <c r="A67" s="62" t="n">
        <v>40786</v>
      </c>
      <c r="B67" s="72" t="n">
        <v>760413358.28</v>
      </c>
      <c r="C67" s="73" t="n">
        <v>-0.0035</v>
      </c>
      <c r="D67" s="74" t="n">
        <f aca="false">AVERAGE(C56:C67)</f>
        <v>0.0532</v>
      </c>
    </row>
    <row r="68" customFormat="false" ht="15" hidden="false" customHeight="true" outlineLevel="0" collapsed="false">
      <c r="A68" s="62" t="n">
        <v>40816</v>
      </c>
      <c r="B68" s="72" t="n">
        <v>758448666.2</v>
      </c>
      <c r="C68" s="73" t="n">
        <v>0.0064</v>
      </c>
      <c r="D68" s="74" t="n">
        <f aca="false">AVERAGE(C57:C68)</f>
        <v>0.047175</v>
      </c>
    </row>
    <row r="69" customFormat="false" ht="15" hidden="false" customHeight="true" outlineLevel="0" collapsed="false">
      <c r="A69" s="62" t="n">
        <v>40847</v>
      </c>
      <c r="B69" s="72" t="n">
        <v>754407680.14</v>
      </c>
      <c r="C69" s="73" t="n">
        <v>0.0385</v>
      </c>
      <c r="D69" s="74" t="n">
        <f aca="false">AVERAGE(C58:C69)</f>
        <v>0.044975</v>
      </c>
    </row>
    <row r="70" customFormat="false" ht="15" hidden="false" customHeight="true" outlineLevel="0" collapsed="false">
      <c r="A70" s="62" t="n">
        <v>40877</v>
      </c>
      <c r="B70" s="72" t="n">
        <v>749435478.37</v>
      </c>
      <c r="C70" s="73" t="n">
        <v>0.053</v>
      </c>
      <c r="D70" s="74" t="n">
        <f aca="false">AVERAGE(C59:C70)</f>
        <v>0.0427083333333333</v>
      </c>
    </row>
    <row r="71" customFormat="false" ht="15" hidden="false" customHeight="true" outlineLevel="0" collapsed="false">
      <c r="A71" s="62" t="n">
        <v>40908</v>
      </c>
      <c r="B71" s="72" t="n">
        <v>747518363.38</v>
      </c>
      <c r="C71" s="73" t="n">
        <v>0.0056</v>
      </c>
      <c r="D71" s="74" t="n">
        <f aca="false">AVERAGE(C60:C71)</f>
        <v>0.0395166666666667</v>
      </c>
    </row>
    <row r="72" customFormat="false" ht="15" hidden="false" customHeight="true" outlineLevel="0" collapsed="false">
      <c r="A72" s="62" t="n">
        <v>40939</v>
      </c>
      <c r="B72" s="72" t="n">
        <v>744179051.1</v>
      </c>
      <c r="C72" s="73" t="n">
        <v>0.0281</v>
      </c>
      <c r="D72" s="74" t="n">
        <f aca="false">AVERAGE(C61:C72)</f>
        <v>0.0365416666666667</v>
      </c>
    </row>
    <row r="73" customFormat="false" ht="15" hidden="false" customHeight="true" outlineLevel="0" collapsed="false">
      <c r="A73" s="62" t="n">
        <v>40968</v>
      </c>
      <c r="B73" s="72" t="n">
        <v>739194434.5</v>
      </c>
      <c r="C73" s="73" t="n">
        <v>0.0538</v>
      </c>
      <c r="D73" s="74" t="n">
        <f aca="false">AVERAGE(C62:C73)</f>
        <v>0.0375583333333333</v>
      </c>
    </row>
    <row r="74" customFormat="false" ht="15" hidden="false" customHeight="true" outlineLevel="0" collapsed="false">
      <c r="A74" s="62" t="n">
        <v>40999</v>
      </c>
      <c r="B74" s="72" t="n">
        <v>737587615.18</v>
      </c>
      <c r="C74" s="73" t="n">
        <v>0.0006</v>
      </c>
      <c r="D74" s="74" t="n">
        <f aca="false">AVERAGE(C63:C74)</f>
        <v>0.0327666666666667</v>
      </c>
    </row>
    <row r="75" customFormat="false" ht="15" hidden="false" customHeight="true" outlineLevel="0" collapsed="false">
      <c r="A75" s="62" t="n">
        <v>41029</v>
      </c>
      <c r="B75" s="72" t="n">
        <v>734949257.75</v>
      </c>
      <c r="C75" s="73" t="n">
        <v>0.0172</v>
      </c>
      <c r="D75" s="74" t="n">
        <f aca="false">AVERAGE(C64:C75)</f>
        <v>0.0306</v>
      </c>
    </row>
    <row r="76" customFormat="false" ht="15" hidden="false" customHeight="true" outlineLevel="0" collapsed="false">
      <c r="A76" s="62" t="n">
        <v>41060</v>
      </c>
      <c r="B76" s="72" t="n">
        <v>730750161.83</v>
      </c>
      <c r="C76" s="73" t="n">
        <v>0.0421</v>
      </c>
      <c r="D76" s="74" t="n">
        <f aca="false">AVERAGE(C65:C76)</f>
        <v>0.031225</v>
      </c>
    </row>
    <row r="77" customFormat="false" ht="15" hidden="false" customHeight="true" outlineLevel="0" collapsed="false">
      <c r="A77" s="62" t="n">
        <v>41090</v>
      </c>
      <c r="B77" s="72" t="n">
        <v>728537502.4</v>
      </c>
      <c r="C77" s="73" t="n">
        <v>0.0104</v>
      </c>
      <c r="D77" s="74" t="n">
        <f aca="false">AVERAGE(C66:C77)</f>
        <v>0.0286166666666667</v>
      </c>
    </row>
    <row r="78" customFormat="false" ht="15" hidden="false" customHeight="true" outlineLevel="0" collapsed="false">
      <c r="A78" s="62" t="n">
        <v>41121</v>
      </c>
      <c r="B78" s="72" t="n">
        <v>722727126.46</v>
      </c>
      <c r="C78" s="73" t="n">
        <v>0.0677</v>
      </c>
      <c r="D78" s="74" t="n">
        <f aca="false">AVERAGE(C67:C78)</f>
        <v>0.0266583333333333</v>
      </c>
    </row>
    <row r="79" customFormat="false" ht="15" hidden="false" customHeight="true" outlineLevel="0" collapsed="false">
      <c r="A79" s="62" t="n">
        <v>41152</v>
      </c>
      <c r="B79" s="72" t="n">
        <v>722655309.96</v>
      </c>
      <c r="C79" s="73" t="n">
        <v>-0.0253</v>
      </c>
      <c r="D79" s="74" t="n">
        <f aca="false">AVERAGE(C68:C79)</f>
        <v>0.0248416666666667</v>
      </c>
    </row>
    <row r="80" customFormat="false" ht="15" hidden="false" customHeight="true" outlineLevel="0" collapsed="false">
      <c r="A80" s="62" t="n">
        <v>41182</v>
      </c>
      <c r="B80" s="72" t="n">
        <v>719397608.24</v>
      </c>
      <c r="C80" s="73" t="n">
        <v>0.0275</v>
      </c>
      <c r="D80" s="74" t="n">
        <f aca="false">AVERAGE(C69:C80)</f>
        <v>0.0266</v>
      </c>
    </row>
    <row r="81" customFormat="false" ht="15" hidden="false" customHeight="true" outlineLevel="0" collapsed="false">
      <c r="A81" s="62" t="n">
        <v>41213</v>
      </c>
      <c r="B81" s="72" t="n">
        <v>716897587.68</v>
      </c>
      <c r="C81" s="73" t="n">
        <v>0.0152</v>
      </c>
      <c r="D81" s="74" t="n">
        <f aca="false">AVERAGE(C70:C81)</f>
        <v>0.0246583333333333</v>
      </c>
    </row>
    <row r="82" customFormat="false" ht="15" hidden="false" customHeight="true" outlineLevel="0" collapsed="false">
      <c r="A82" s="62" t="n">
        <v>41243</v>
      </c>
      <c r="B82" s="72" t="n">
        <v>715024387.15</v>
      </c>
      <c r="C82" s="73" t="n">
        <v>0.0048</v>
      </c>
      <c r="D82" s="74" t="n">
        <f aca="false">AVERAGE(C71:C82)</f>
        <v>0.0206416666666667</v>
      </c>
    </row>
    <row r="83" customFormat="false" ht="15" hidden="false" customHeight="true" outlineLevel="0" collapsed="false">
      <c r="A83" s="62" t="n">
        <v>41274</v>
      </c>
      <c r="B83" s="72" t="n">
        <v>710548918.39</v>
      </c>
      <c r="C83" s="73" t="n">
        <v>0.0475</v>
      </c>
      <c r="D83" s="74" t="n">
        <f aca="false">AVERAGE(C72:C83)</f>
        <v>0.0241333333333333</v>
      </c>
    </row>
    <row r="84" customFormat="false" ht="15" hidden="false" customHeight="true" outlineLevel="0" collapsed="false">
      <c r="A84" s="62" t="n">
        <v>41305</v>
      </c>
      <c r="B84" s="72" t="n">
        <v>708026493.5</v>
      </c>
      <c r="C84" s="73" t="n">
        <v>0.0157</v>
      </c>
      <c r="D84" s="74" t="n">
        <f aca="false">AVERAGE(C73:C84)</f>
        <v>0.0231</v>
      </c>
    </row>
    <row r="85" customFormat="false" ht="15" hidden="false" customHeight="true" outlineLevel="0" collapsed="false">
      <c r="A85" s="62" t="n">
        <v>41333</v>
      </c>
      <c r="B85" s="72" t="n">
        <v>705716537.85</v>
      </c>
      <c r="C85" s="73" t="n">
        <v>0.0122</v>
      </c>
      <c r="D85" s="74" t="n">
        <f aca="false">AVERAGE(C74:C85)</f>
        <v>0.0196333333333333</v>
      </c>
    </row>
    <row r="86" customFormat="false" ht="15" hidden="false" customHeight="true" outlineLevel="0" collapsed="false">
      <c r="A86" s="62" t="n">
        <v>41364</v>
      </c>
      <c r="B86" s="72" t="n">
        <v>701317631.74</v>
      </c>
      <c r="C86" s="73" t="n">
        <v>0.0468</v>
      </c>
      <c r="D86" s="74" t="n">
        <f aca="false">AVERAGE(C75:C86)</f>
        <v>0.0234833333333333</v>
      </c>
    </row>
    <row r="87" customFormat="false" ht="15" hidden="false" customHeight="true" outlineLevel="0" collapsed="false">
      <c r="A87" s="62" t="n">
        <v>41394</v>
      </c>
      <c r="B87" s="72" t="n">
        <v>698775192.19</v>
      </c>
      <c r="C87" s="73" t="n">
        <v>0.0162</v>
      </c>
      <c r="D87" s="74" t="n">
        <f aca="false">AVERAGE(C76:C87)</f>
        <v>0.0234</v>
      </c>
    </row>
    <row r="88" customFormat="false" ht="15" hidden="false" customHeight="true" outlineLevel="0" collapsed="false">
      <c r="A88" s="62" t="n">
        <v>41425</v>
      </c>
      <c r="B88" s="72" t="n">
        <v>696754375.5</v>
      </c>
      <c r="C88" s="73" t="n">
        <v>0.0073</v>
      </c>
      <c r="D88" s="74" t="n">
        <f aca="false">AVERAGE(C77:C88)</f>
        <v>0.0205</v>
      </c>
    </row>
    <row r="89" customFormat="false" ht="15" hidden="false" customHeight="true" outlineLevel="0" collapsed="false">
      <c r="A89" s="62" t="n">
        <v>41455</v>
      </c>
      <c r="B89" s="72" t="n">
        <v>692997742.83</v>
      </c>
      <c r="C89" s="73" t="n">
        <v>0.0366</v>
      </c>
      <c r="D89" s="74" t="n">
        <f aca="false">AVERAGE(C78:C89)</f>
        <v>0.0226833333333333</v>
      </c>
    </row>
    <row r="90" customFormat="false" ht="15" hidden="false" customHeight="true" outlineLevel="0" collapsed="false">
      <c r="A90" s="62" t="n">
        <v>41486</v>
      </c>
      <c r="B90" s="72" t="n">
        <v>690830156.58</v>
      </c>
      <c r="C90" s="73" t="n">
        <v>0.0098</v>
      </c>
      <c r="D90" s="74" t="n">
        <f aca="false">AVERAGE(C79:C90)</f>
        <v>0.0178583333333333</v>
      </c>
    </row>
    <row r="91" customFormat="false" ht="15" hidden="false" customHeight="true" outlineLevel="0" collapsed="false">
      <c r="A91" s="62" t="n">
        <v>41517</v>
      </c>
      <c r="B91" s="72" t="n">
        <v>687831601.5</v>
      </c>
      <c r="C91" s="73" t="n">
        <v>0.024</v>
      </c>
      <c r="D91" s="74" t="n">
        <f aca="false">AVERAGE(C80:C91)</f>
        <v>0.0219666666666667</v>
      </c>
    </row>
    <row r="92" customFormat="false" ht="15" hidden="false" customHeight="true" outlineLevel="0" collapsed="false">
      <c r="A92" s="62" t="n">
        <v>41547</v>
      </c>
      <c r="B92" s="72" t="n">
        <v>684142259.43</v>
      </c>
      <c r="C92" s="73" t="n">
        <v>0.0358</v>
      </c>
      <c r="D92" s="74" t="n">
        <f aca="false">AVERAGE(C81:C92)</f>
        <v>0.0226583333333333</v>
      </c>
    </row>
    <row r="93" customFormat="false" ht="15" hidden="false" customHeight="true" outlineLevel="0" collapsed="false">
      <c r="A93" s="62" t="n">
        <v>41578</v>
      </c>
      <c r="B93" s="72" t="n">
        <v>681407343.26</v>
      </c>
      <c r="C93" s="73" t="n">
        <v>0.0197</v>
      </c>
      <c r="D93" s="74" t="n">
        <f aca="false">AVERAGE(C82:C93)</f>
        <v>0.0230333333333333</v>
      </c>
    </row>
    <row r="94" customFormat="false" ht="15" hidden="false" customHeight="true" outlineLevel="0" collapsed="false">
      <c r="A94" s="62" t="n">
        <v>41608</v>
      </c>
      <c r="B94" s="72" t="n">
        <v>678389936.27</v>
      </c>
      <c r="C94" s="73" t="n">
        <v>0.0246</v>
      </c>
      <c r="D94" s="74" t="n">
        <f aca="false">AVERAGE(C83:C94)</f>
        <v>0.0246833333333333</v>
      </c>
    </row>
    <row r="95" customFormat="false" ht="15" hidden="false" customHeight="true" outlineLevel="0" collapsed="false">
      <c r="A95" s="62" t="n">
        <v>41639</v>
      </c>
      <c r="B95" s="72" t="n">
        <v>672727092.66</v>
      </c>
      <c r="C95" s="73" t="n">
        <v>0.0695</v>
      </c>
      <c r="D95" s="74" t="n">
        <f aca="false">AVERAGE(C84:C95)</f>
        <v>0.0265166666666667</v>
      </c>
    </row>
    <row r="96" customFormat="false" ht="15" hidden="false" customHeight="true" outlineLevel="0" collapsed="false">
      <c r="A96" s="62" t="n">
        <v>41670</v>
      </c>
      <c r="B96" s="72" t="n">
        <v>669741168.36</v>
      </c>
      <c r="C96" s="73" t="n">
        <v>0.0244</v>
      </c>
      <c r="D96" s="74" t="n">
        <f aca="false">AVERAGE(C85:C96)</f>
        <v>0.0272416666666667</v>
      </c>
    </row>
    <row r="97" customFormat="false" ht="15" hidden="false" customHeight="true" outlineLevel="0" collapsed="false">
      <c r="A97" s="62" t="n">
        <v>41698</v>
      </c>
      <c r="B97" s="72" t="n">
        <v>666204382.96</v>
      </c>
      <c r="C97" s="73" t="n">
        <v>0.0341</v>
      </c>
      <c r="D97" s="74" t="n">
        <f aca="false">AVERAGE(C86:C97)</f>
        <v>0.0290666666666667</v>
      </c>
    </row>
    <row r="98" customFormat="false" ht="15" hidden="false" customHeight="true" outlineLevel="0" collapsed="false">
      <c r="A98" s="62" t="n">
        <v>41729</v>
      </c>
      <c r="B98" s="72" t="n">
        <v>660791682.01</v>
      </c>
      <c r="C98" s="73" t="n">
        <v>0.0666</v>
      </c>
      <c r="D98" s="74" t="n">
        <f aca="false">AVERAGE(C87:C98)</f>
        <v>0.0307166666666667</v>
      </c>
    </row>
    <row r="99" customFormat="false" ht="15" hidden="false" customHeight="true" outlineLevel="0" collapsed="false">
      <c r="A99" s="62" t="n">
        <v>41759</v>
      </c>
      <c r="B99" s="72" t="n">
        <v>657294909.44</v>
      </c>
      <c r="C99" s="73" t="n">
        <v>0.0339</v>
      </c>
      <c r="D99" s="74" t="n">
        <f aca="false">AVERAGE(C88:C99)</f>
        <v>0.0321916666666667</v>
      </c>
    </row>
    <row r="100" customFormat="false" ht="15" hidden="false" customHeight="true" outlineLevel="0" collapsed="false">
      <c r="A100" s="62" t="n">
        <v>41790</v>
      </c>
      <c r="B100" s="72" t="n">
        <v>654159570.63</v>
      </c>
      <c r="C100" s="73" t="n">
        <v>0.0277</v>
      </c>
      <c r="D100" s="74" t="n">
        <f aca="false">AVERAGE(C89:C100)</f>
        <v>0.0338916666666667</v>
      </c>
    </row>
    <row r="101" customFormat="false" ht="15" hidden="false" customHeight="true" outlineLevel="0" collapsed="false">
      <c r="A101" s="62" t="n">
        <v>41820</v>
      </c>
      <c r="B101" s="72" t="n">
        <v>650288959.79</v>
      </c>
      <c r="C101" s="73" t="n">
        <v>0.0409</v>
      </c>
      <c r="D101" s="74" t="n">
        <f aca="false">AVERAGE(C90:C101)</f>
        <v>0.03425</v>
      </c>
    </row>
    <row r="102" customFormat="false" ht="15" hidden="false" customHeight="true" outlineLevel="0" collapsed="false">
      <c r="A102" s="62" t="n">
        <v>41851</v>
      </c>
      <c r="B102" s="72" t="n">
        <v>645319509.47</v>
      </c>
      <c r="C102" s="73" t="n">
        <v>0.0605</v>
      </c>
      <c r="D102" s="74" t="n">
        <f aca="false">AVERAGE(C91:C102)</f>
        <v>0.038475</v>
      </c>
    </row>
    <row r="103" customFormat="false" ht="15" hidden="false" customHeight="true" outlineLevel="0" collapsed="false">
      <c r="A103" s="62" t="n">
        <v>41882</v>
      </c>
      <c r="B103" s="72" t="n">
        <v>641331898.48</v>
      </c>
      <c r="C103" s="73" t="n">
        <v>0.0436</v>
      </c>
      <c r="D103" s="74" t="n">
        <f aca="false">AVERAGE(C92:C103)</f>
        <v>0.0401083333333333</v>
      </c>
    </row>
    <row r="104" customFormat="false" ht="15" hidden="false" customHeight="true" outlineLevel="0" collapsed="false">
      <c r="A104" s="62" t="n">
        <v>41912</v>
      </c>
      <c r="B104" s="72" t="n">
        <v>637655294.13</v>
      </c>
      <c r="C104" s="73" t="n">
        <v>0.0382</v>
      </c>
      <c r="D104" s="74" t="n">
        <f aca="false">AVERAGE(C93:C104)</f>
        <v>0.0403083333333333</v>
      </c>
    </row>
    <row r="105" customFormat="false" ht="15" hidden="false" customHeight="true" outlineLevel="0" collapsed="false">
      <c r="A105" s="62" t="n">
        <v>41943</v>
      </c>
      <c r="B105" s="72" t="n">
        <v>633994609.78</v>
      </c>
      <c r="C105" s="73" t="n">
        <v>0.0381</v>
      </c>
      <c r="D105" s="74" t="n">
        <f aca="false">AVERAGE(C94:C105)</f>
        <v>0.0418416666666667</v>
      </c>
    </row>
    <row r="106" customFormat="false" ht="15" hidden="false" customHeight="true" outlineLevel="0" collapsed="false">
      <c r="A106" s="62" t="n">
        <v>41973</v>
      </c>
      <c r="B106" s="72" t="n">
        <v>631298732.6</v>
      </c>
      <c r="C106" s="73" t="n">
        <v>0.0206</v>
      </c>
      <c r="D106" s="74" t="n">
        <f aca="false">AVERAGE(C95:C106)</f>
        <v>0.0415083333333333</v>
      </c>
    </row>
    <row r="107" customFormat="false" ht="15" hidden="false" customHeight="true" outlineLevel="0" collapsed="false">
      <c r="A107" s="62" t="n">
        <v>42004</v>
      </c>
      <c r="B107" s="72" t="n">
        <v>627228333.64</v>
      </c>
      <c r="C107" s="73" t="n">
        <v>0.046</v>
      </c>
      <c r="D107" s="74" t="n">
        <f aca="false">AVERAGE(C96:C107)</f>
        <v>0.03955</v>
      </c>
    </row>
    <row r="108" customFormat="false" ht="15" hidden="false" customHeight="true" outlineLevel="0" collapsed="false">
      <c r="A108" s="62" t="n">
        <v>42035</v>
      </c>
      <c r="B108" s="72" t="n">
        <v>624125556.12</v>
      </c>
      <c r="C108" s="73" t="n">
        <v>0.0284</v>
      </c>
      <c r="D108" s="74" t="n">
        <f aca="false">AVERAGE(C97:C108)</f>
        <v>0.0398833333333333</v>
      </c>
    </row>
    <row r="109" customFormat="false" ht="15" hidden="false" customHeight="true" outlineLevel="0" collapsed="false">
      <c r="A109" s="62" t="n">
        <v>42063</v>
      </c>
      <c r="B109" s="72" t="n">
        <v>620747224.91</v>
      </c>
      <c r="C109" s="73" t="n">
        <v>0.0337</v>
      </c>
      <c r="D109" s="74" t="n">
        <f aca="false">AVERAGE(C98:C109)</f>
        <v>0.03985</v>
      </c>
    </row>
    <row r="110" customFormat="false" ht="15" hidden="false" customHeight="true" outlineLevel="0" collapsed="false">
      <c r="A110" s="62" t="n">
        <v>42094</v>
      </c>
      <c r="B110" s="72" t="n">
        <v>616542183.41</v>
      </c>
      <c r="C110" s="73" t="n">
        <v>0.0493</v>
      </c>
      <c r="D110" s="74" t="n">
        <f aca="false">AVERAGE(C99:C110)</f>
        <v>0.0384083333333333</v>
      </c>
    </row>
    <row r="111" customFormat="false" ht="15" hidden="false" customHeight="true" outlineLevel="0" collapsed="false">
      <c r="A111" s="62" t="n">
        <v>42124</v>
      </c>
      <c r="B111" s="72" t="n">
        <v>613634973.52</v>
      </c>
      <c r="C111" s="73" t="n">
        <v>0.0252</v>
      </c>
      <c r="D111" s="74" t="n">
        <f aca="false">AVERAGE(C100:C111)</f>
        <v>0.0376833333333333</v>
      </c>
    </row>
    <row r="112" customFormat="false" ht="15" hidden="false" customHeight="true" outlineLevel="0" collapsed="false">
      <c r="A112" s="62" t="n">
        <v>42155</v>
      </c>
      <c r="B112" s="72" t="n">
        <v>611239656.92</v>
      </c>
      <c r="C112" s="73" t="n">
        <v>0.0154</v>
      </c>
      <c r="D112" s="74" t="n">
        <f aca="false">AVERAGE(C101:C112)</f>
        <v>0.0366583333333333</v>
      </c>
    </row>
    <row r="113" customFormat="false" ht="15" hidden="false" customHeight="true" outlineLevel="0" collapsed="false">
      <c r="A113" s="62" t="n">
        <v>42185</v>
      </c>
      <c r="B113" s="72" t="n">
        <v>610448576.02</v>
      </c>
      <c r="C113" s="73" t="n">
        <v>-0.0161</v>
      </c>
      <c r="D113" s="74" t="n">
        <f aca="false">AVERAGE(C102:C113)</f>
        <v>0.0319083333333333</v>
      </c>
    </row>
    <row r="114" customFormat="false" ht="15" hidden="false" customHeight="true" outlineLevel="0" collapsed="false">
      <c r="A114" s="62" t="n">
        <v>42216</v>
      </c>
      <c r="B114" s="72" t="n">
        <v>602562219.99</v>
      </c>
      <c r="C114" s="73" t="n">
        <v>0.1169</v>
      </c>
      <c r="D114" s="74" t="n">
        <f aca="false">AVERAGE(C103:C114)</f>
        <v>0.0366083333333333</v>
      </c>
    </row>
    <row r="115" customFormat="false" ht="15" hidden="false" customHeight="true" outlineLevel="0" collapsed="false">
      <c r="A115" s="62" t="n">
        <v>42247</v>
      </c>
      <c r="B115" s="72" t="n">
        <v>599643847.82</v>
      </c>
      <c r="C115" s="73" t="n">
        <v>0.026</v>
      </c>
      <c r="D115" s="74" t="n">
        <f aca="false">AVERAGE(C104:C115)</f>
        <v>0.0351416666666667</v>
      </c>
    </row>
    <row r="116" customFormat="false" ht="15" hidden="false" customHeight="true" outlineLevel="0" collapsed="false">
      <c r="A116" s="62" t="n">
        <v>42277</v>
      </c>
      <c r="B116" s="72" t="n">
        <v>595819113.59</v>
      </c>
      <c r="C116" s="73" t="n">
        <v>0.0437</v>
      </c>
      <c r="D116" s="74" t="n">
        <f aca="false">AVERAGE(C105:C116)</f>
        <v>0.0356</v>
      </c>
    </row>
    <row r="117" customFormat="false" ht="15" hidden="false" customHeight="true" outlineLevel="0" collapsed="false">
      <c r="A117" s="62" t="n">
        <v>42308</v>
      </c>
      <c r="B117" s="72" t="n">
        <v>592873529.4</v>
      </c>
      <c r="C117" s="73" t="n">
        <v>0.0268</v>
      </c>
      <c r="D117" s="74" t="n">
        <f aca="false">AVERAGE(C106:C117)</f>
        <v>0.0346583333333333</v>
      </c>
    </row>
    <row r="118" customFormat="false" ht="15" hidden="false" customHeight="true" outlineLevel="0" collapsed="false">
      <c r="A118" s="62" t="n">
        <v>42338</v>
      </c>
      <c r="B118" s="72" t="n">
        <v>590468490.37</v>
      </c>
      <c r="C118" s="73" t="n">
        <v>0.0161</v>
      </c>
      <c r="D118" s="74" t="n">
        <f aca="false">AVERAGE(C107:C118)</f>
        <v>0.0342833333333333</v>
      </c>
    </row>
    <row r="119" customFormat="false" ht="15" hidden="false" customHeight="true" outlineLevel="0" collapsed="false">
      <c r="A119" s="62" t="n">
        <v>42369</v>
      </c>
      <c r="B119" s="72" t="n">
        <v>586260523.35</v>
      </c>
      <c r="C119" s="73" t="n">
        <v>0.0521</v>
      </c>
      <c r="D119" s="74" t="n">
        <f aca="false">AVERAGE(C108:C119)</f>
        <v>0.0347916666666667</v>
      </c>
    </row>
    <row r="120" customFormat="false" ht="15" hidden="false" customHeight="true" outlineLevel="0" collapsed="false">
      <c r="A120" s="62" t="n">
        <v>42400</v>
      </c>
      <c r="B120" s="72" t="n">
        <v>582596410.22</v>
      </c>
      <c r="C120" s="73" t="n">
        <v>0.0418</v>
      </c>
      <c r="D120" s="74" t="n">
        <f aca="false">AVERAGE(C109:C120)</f>
        <v>0.0359083333333333</v>
      </c>
    </row>
    <row r="121" customFormat="false" ht="15" hidden="false" customHeight="true" outlineLevel="0" collapsed="false">
      <c r="A121" s="62" t="n">
        <v>42429</v>
      </c>
      <c r="B121" s="72" t="n">
        <v>578794388.36</v>
      </c>
      <c r="C121" s="73" t="n">
        <v>0.0448</v>
      </c>
      <c r="D121" s="74" t="n">
        <f aca="false">AVERAGE(C110:C121)</f>
        <v>0.0368333333333333</v>
      </c>
    </row>
    <row r="122" customFormat="false" ht="15" hidden="false" customHeight="true" outlineLevel="0" collapsed="false">
      <c r="A122" s="62" t="n">
        <v>42460</v>
      </c>
      <c r="B122" s="72" t="n">
        <v>575926403.61</v>
      </c>
      <c r="C122" s="73" t="n">
        <v>0.0263</v>
      </c>
      <c r="D122" s="74" t="n">
        <f aca="false">AVERAGE(C111:C122)</f>
        <v>0.0349166666666667</v>
      </c>
    </row>
    <row r="123" customFormat="false" ht="15" hidden="false" customHeight="true" outlineLevel="0" collapsed="false">
      <c r="A123" s="62" t="n">
        <v>42490</v>
      </c>
      <c r="B123" s="72" t="n">
        <v>571339940.3</v>
      </c>
      <c r="C123" s="73" t="n">
        <v>0.0609</v>
      </c>
      <c r="D123" s="74" t="n">
        <f aca="false">AVERAGE(C112:C123)</f>
        <v>0.0378916666666667</v>
      </c>
    </row>
    <row r="124" customFormat="false" ht="15" hidden="false" customHeight="true" outlineLevel="0" collapsed="false">
      <c r="A124" s="62" t="n">
        <v>42521</v>
      </c>
      <c r="B124" s="72" t="n">
        <v>568873664.67</v>
      </c>
      <c r="C124" s="73" t="n">
        <v>0.0184</v>
      </c>
      <c r="D124" s="74" t="n">
        <f aca="false">AVERAGE(C113:C124)</f>
        <v>0.0381416666666667</v>
      </c>
    </row>
    <row r="125" customFormat="false" ht="15" hidden="false" customHeight="true" outlineLevel="0" collapsed="false">
      <c r="A125" s="62" t="n">
        <v>42551</v>
      </c>
      <c r="B125" s="72" t="n">
        <v>564440474.7</v>
      </c>
      <c r="C125" s="73" t="n">
        <v>0.0586</v>
      </c>
      <c r="D125" s="74" t="n">
        <f aca="false">AVERAGE(C114:C125)</f>
        <v>0.0443666666666667</v>
      </c>
    </row>
    <row r="126" customFormat="false" ht="15" hidden="false" customHeight="true" outlineLevel="0" collapsed="false">
      <c r="A126" s="62" t="n">
        <v>42582</v>
      </c>
      <c r="B126" s="72" t="n">
        <v>561150589.11</v>
      </c>
      <c r="C126" s="73" t="n">
        <v>0.0358</v>
      </c>
      <c r="D126" s="74" t="n">
        <f aca="false">AVERAGE(C115:C126)</f>
        <v>0.0376083333333333</v>
      </c>
    </row>
    <row r="127" customFormat="false" ht="15" hidden="false" customHeight="true" outlineLevel="0" collapsed="false">
      <c r="A127" s="62" t="n">
        <v>42613</v>
      </c>
      <c r="B127" s="72" t="n">
        <v>558712880.15</v>
      </c>
      <c r="C127" s="73" t="n">
        <v>0.0181</v>
      </c>
      <c r="D127" s="74" t="n">
        <f aca="false">AVERAGE(C116:C127)</f>
        <v>0.03695</v>
      </c>
    </row>
    <row r="128" customFormat="false" ht="15" hidden="false" customHeight="true" outlineLevel="0" collapsed="false">
      <c r="A128" s="62" t="n">
        <v>42643</v>
      </c>
      <c r="B128" s="72" t="n">
        <v>555219388.14</v>
      </c>
      <c r="C128" s="73" t="n">
        <v>0.0403</v>
      </c>
      <c r="D128" s="74" t="n">
        <f aca="false">AVERAGE(C117:C128)</f>
        <v>0.0366666666666667</v>
      </c>
    </row>
    <row r="129" customFormat="false" ht="15" hidden="false" customHeight="true" outlineLevel="0" collapsed="false">
      <c r="A129" s="62" t="n">
        <v>42674</v>
      </c>
      <c r="B129" s="72" t="n">
        <v>551908178.44</v>
      </c>
      <c r="C129" s="73" t="n">
        <v>0.0367</v>
      </c>
      <c r="D129" s="74" t="n">
        <f aca="false">AVERAGE(C118:C129)</f>
        <v>0.0374916666666667</v>
      </c>
    </row>
    <row r="130" customFormat="false" ht="15" hidden="false" customHeight="true" outlineLevel="0" collapsed="false">
      <c r="A130" s="62" t="n">
        <v>42704</v>
      </c>
      <c r="B130" s="72" t="n">
        <v>549072303.9</v>
      </c>
      <c r="C130" s="73" t="n">
        <v>0.0269</v>
      </c>
      <c r="D130" s="74" t="n">
        <f aca="false">AVERAGE(C119:C130)</f>
        <v>0.0383916666666667</v>
      </c>
    </row>
    <row r="131" customFormat="false" ht="15" hidden="false" customHeight="true" outlineLevel="0" collapsed="false">
      <c r="A131" s="62" t="n">
        <v>42735</v>
      </c>
      <c r="B131" s="72" t="n">
        <v>545789052.54</v>
      </c>
      <c r="C131" s="73" t="n">
        <v>0.0365</v>
      </c>
      <c r="D131" s="74" t="n">
        <f aca="false">AVERAGE(C120:C131)</f>
        <v>0.0370916666666667</v>
      </c>
    </row>
    <row r="132" customFormat="false" ht="15" hidden="false" customHeight="true" outlineLevel="0" collapsed="false">
      <c r="A132" s="62" t="n">
        <v>42766</v>
      </c>
      <c r="B132" s="72" t="n">
        <v>542670157.35</v>
      </c>
      <c r="C132" s="73" t="n">
        <v>0.0332</v>
      </c>
      <c r="D132" s="74" t="n">
        <f aca="false">AVERAGE(C121:C132)</f>
        <v>0.036375</v>
      </c>
    </row>
    <row r="133" customFormat="false" ht="15" hidden="false" customHeight="true" outlineLevel="0" collapsed="false">
      <c r="A133" s="62" t="n">
        <v>42794</v>
      </c>
      <c r="B133" s="72" t="n">
        <v>539835980.07</v>
      </c>
      <c r="C133" s="73" t="n">
        <v>0.0272</v>
      </c>
      <c r="D133" s="74" t="n">
        <f aca="false">AVERAGE(C122:C133)</f>
        <v>0.0349083333333333</v>
      </c>
    </row>
    <row r="134" customFormat="false" ht="15" hidden="false" customHeight="true" outlineLevel="0" collapsed="false">
      <c r="A134" s="62" t="n">
        <v>42825</v>
      </c>
      <c r="B134" s="72" t="n">
        <v>538059823.16</v>
      </c>
      <c r="C134" s="73" t="n">
        <v>0.0041</v>
      </c>
      <c r="D134" s="74" t="n">
        <f aca="false">AVERAGE(C123:C134)</f>
        <v>0.0330583333333333</v>
      </c>
    </row>
    <row r="135" customFormat="false" ht="15" hidden="false" customHeight="true" outlineLevel="0" collapsed="false">
      <c r="A135" s="62" t="n">
        <v>42855</v>
      </c>
      <c r="B135" s="72" t="n">
        <v>533293117.09</v>
      </c>
      <c r="C135" s="73" t="n">
        <v>0.0687</v>
      </c>
      <c r="D135" s="74" t="n">
        <f aca="false">AVERAGE(C124:C135)</f>
        <v>0.0337083333333333</v>
      </c>
    </row>
    <row r="136" customFormat="false" ht="15" hidden="false" customHeight="true" outlineLevel="0" collapsed="false">
      <c r="A136" s="62" t="n">
        <v>42886</v>
      </c>
      <c r="B136" s="72" t="n">
        <v>530694026.47</v>
      </c>
      <c r="C136" s="73" t="n">
        <v>0.0225</v>
      </c>
      <c r="D136" s="74" t="n">
        <f aca="false">AVERAGE(C125:C136)</f>
        <v>0.03405</v>
      </c>
    </row>
    <row r="137" customFormat="false" ht="15" hidden="false" customHeight="true" outlineLevel="0" collapsed="false">
      <c r="A137" s="62" t="n">
        <v>42916</v>
      </c>
      <c r="B137" s="72" t="n">
        <v>527501427.74</v>
      </c>
      <c r="C137" s="73" t="n">
        <v>0.0357</v>
      </c>
      <c r="D137" s="74" t="n">
        <f aca="false">AVERAGE(C126:C137)</f>
        <v>0.0321416666666667</v>
      </c>
    </row>
    <row r="138" customFormat="false" ht="15" hidden="false" customHeight="true" outlineLevel="0" collapsed="false">
      <c r="A138" s="62" t="n">
        <v>42947</v>
      </c>
      <c r="B138" s="72" t="n">
        <v>524351840.46</v>
      </c>
      <c r="C138" s="73" t="n">
        <v>0.0349</v>
      </c>
      <c r="D138" s="74" t="n">
        <f aca="false">AVERAGE(C127:C138)</f>
        <v>0.0320666666666667</v>
      </c>
    </row>
    <row r="139" customFormat="false" ht="15" hidden="false" customHeight="true" outlineLevel="0" collapsed="false">
      <c r="A139" s="62" t="n">
        <v>42978</v>
      </c>
      <c r="B139" s="72" t="n">
        <v>521402785.79</v>
      </c>
      <c r="C139" s="73" t="n">
        <v>0.0306</v>
      </c>
      <c r="D139" s="74" t="n">
        <f aca="false">AVERAGE(C128:C139)</f>
        <v>0.0331083333333333</v>
      </c>
    </row>
    <row r="140" customFormat="false" ht="15" hidden="false" customHeight="true" outlineLevel="0" collapsed="false">
      <c r="A140" s="62" t="n">
        <v>43008</v>
      </c>
      <c r="B140" s="72" t="n">
        <v>518606859.8</v>
      </c>
      <c r="C140" s="73" t="n">
        <v>0.0273</v>
      </c>
      <c r="D140" s="74" t="n">
        <f aca="false">AVERAGE(C129:C140)</f>
        <v>0.032025</v>
      </c>
    </row>
    <row r="141" customFormat="false" ht="15" hidden="false" customHeight="true" outlineLevel="0" collapsed="false">
      <c r="A141" s="62" t="n">
        <v>43039</v>
      </c>
      <c r="B141" s="72" t="n">
        <v>515731803.28</v>
      </c>
      <c r="C141" s="73" t="n">
        <v>0.0292</v>
      </c>
      <c r="D141" s="74" t="n">
        <f aca="false">AVERAGE(C130:C141)</f>
        <v>0.0314</v>
      </c>
    </row>
    <row r="142" customFormat="false" ht="15" hidden="false" customHeight="true" outlineLevel="0" collapsed="false">
      <c r="A142" s="62" t="n">
        <v>43069</v>
      </c>
      <c r="B142" s="72" t="n">
        <v>512975886.85</v>
      </c>
      <c r="C142" s="73" t="n">
        <v>0.0267</v>
      </c>
      <c r="D142" s="74" t="n">
        <f aca="false">AVERAGE(C131:C142)</f>
        <v>0.0313833333333333</v>
      </c>
    </row>
    <row r="143" customFormat="false" ht="15" hidden="false" customHeight="true" outlineLevel="0" collapsed="false">
      <c r="A143" s="62" t="n">
        <v>43100</v>
      </c>
      <c r="B143" s="72" t="n">
        <v>509331964.47</v>
      </c>
      <c r="C143" s="73" t="n">
        <v>0.0471</v>
      </c>
      <c r="D143" s="74" t="n">
        <f aca="false">AVERAGE(C132:C143)</f>
        <v>0.0322666666666667</v>
      </c>
    </row>
    <row r="144" customFormat="false" ht="15" hidden="false" customHeight="true" outlineLevel="0" collapsed="false">
      <c r="A144" s="62" t="n">
        <v>43131</v>
      </c>
      <c r="B144" s="72" t="n">
        <v>506443603.02</v>
      </c>
      <c r="C144" s="73" t="n">
        <v>0.0302</v>
      </c>
      <c r="D144" s="74" t="n">
        <f aca="false">AVERAGE(C133:C144)</f>
        <v>0.0320166666666667</v>
      </c>
    </row>
    <row r="145" customFormat="false" ht="15" hidden="false" customHeight="true" outlineLevel="0" collapsed="false">
      <c r="A145" s="62" t="n">
        <v>43159</v>
      </c>
      <c r="B145" s="72" t="n">
        <v>504511029.99</v>
      </c>
      <c r="C145" s="73" t="n">
        <v>0.0081</v>
      </c>
      <c r="D145" s="74" t="n">
        <f aca="false">AVERAGE(C134:C145)</f>
        <v>0.030425</v>
      </c>
    </row>
    <row r="146" customFormat="false" ht="15" hidden="false" customHeight="true" outlineLevel="0" collapsed="false">
      <c r="A146" s="62" t="n">
        <v>43190</v>
      </c>
      <c r="B146" s="72" t="n">
        <v>500424093.32</v>
      </c>
      <c r="C146" s="73" t="n">
        <v>0.0578</v>
      </c>
      <c r="D146" s="74" t="n">
        <f aca="false">AVERAGE(C135:C146)</f>
        <v>0.0349</v>
      </c>
    </row>
    <row r="147" customFormat="false" ht="15" hidden="false" customHeight="true" outlineLevel="0" collapsed="false">
      <c r="A147" s="62" t="n">
        <v>43220</v>
      </c>
      <c r="B147" s="72" t="n">
        <v>497369314.06</v>
      </c>
      <c r="C147" s="73" t="n">
        <v>0.0346</v>
      </c>
      <c r="D147" s="74" t="n">
        <f aca="false">AVERAGE(C136:C147)</f>
        <v>0.0320583333333333</v>
      </c>
    </row>
    <row r="148" customFormat="false" ht="15" hidden="false" customHeight="true" outlineLevel="0" collapsed="false">
      <c r="A148" s="62" t="n">
        <v>43251</v>
      </c>
      <c r="B148" s="72" t="n">
        <v>495258381.38</v>
      </c>
      <c r="C148" s="73" t="n">
        <v>0.0124</v>
      </c>
      <c r="D148" s="74" t="n">
        <f aca="false">AVERAGE(C137:C148)</f>
        <v>0.0312166666666667</v>
      </c>
    </row>
    <row r="149" customFormat="false" ht="15" hidden="false" customHeight="true" outlineLevel="0" collapsed="false">
      <c r="A149" s="62" t="n">
        <v>43281</v>
      </c>
      <c r="B149" s="72" t="n">
        <v>491134073.03</v>
      </c>
      <c r="C149" s="73" t="n">
        <v>0.0597</v>
      </c>
      <c r="D149" s="74" t="n">
        <f aca="false">AVERAGE(C138:C149)</f>
        <v>0.0332166666666667</v>
      </c>
    </row>
    <row r="150" customFormat="false" ht="15" hidden="false" customHeight="true" outlineLevel="0" collapsed="false">
      <c r="A150" s="62" t="n">
        <v>43312</v>
      </c>
      <c r="B150" s="72" t="n">
        <v>487188360.2</v>
      </c>
      <c r="C150" s="73" t="n">
        <v>0.0561</v>
      </c>
      <c r="D150" s="74" t="n">
        <f aca="false">AVERAGE(C139:C150)</f>
        <v>0.0349833333333333</v>
      </c>
    </row>
    <row r="151" customFormat="false" ht="15" hidden="false" customHeight="true" outlineLevel="0" collapsed="false">
      <c r="A151" s="62" t="n">
        <v>43343</v>
      </c>
      <c r="B151" s="72" t="n">
        <v>484899510.79</v>
      </c>
      <c r="C151" s="73" t="n">
        <v>0.0171</v>
      </c>
      <c r="D151" s="74" t="n">
        <f aca="false">AVERAGE(C140:C151)</f>
        <v>0.0338583333333333</v>
      </c>
    </row>
    <row r="152" customFormat="false" ht="15" hidden="false" customHeight="true" outlineLevel="0" collapsed="false">
      <c r="A152" s="62" t="n">
        <v>43373</v>
      </c>
      <c r="B152" s="72" t="n">
        <v>481071041.58</v>
      </c>
      <c r="C152" s="73" t="n">
        <v>0.0541</v>
      </c>
      <c r="D152" s="74" t="n">
        <f aca="false">AVERAGE(C141:C152)</f>
        <v>0.0360916666666667</v>
      </c>
    </row>
    <row r="153" customFormat="false" ht="15" hidden="false" customHeight="true" outlineLevel="0" collapsed="false">
      <c r="A153" s="62" t="n">
        <v>43404</v>
      </c>
      <c r="B153" s="72" t="n">
        <v>477739565.64</v>
      </c>
      <c r="C153" s="73" t="n">
        <v>0.0427</v>
      </c>
      <c r="D153" s="74" t="n">
        <f aca="false">AVERAGE(C142:C153)</f>
        <v>0.0372166666666667</v>
      </c>
    </row>
    <row r="154" customFormat="false" ht="15" hidden="false" customHeight="true" outlineLevel="0" collapsed="false">
      <c r="A154" s="62" t="n">
        <v>43434</v>
      </c>
      <c r="B154" s="72" t="n">
        <v>475094278.07</v>
      </c>
      <c r="C154" s="73" t="n">
        <v>0.0262</v>
      </c>
      <c r="D154" s="74" t="n">
        <f aca="false">AVERAGE(C143:C154)</f>
        <v>0.037175</v>
      </c>
    </row>
    <row r="155" customFormat="false" ht="15" hidden="false" customHeight="true" outlineLevel="0" collapsed="false">
      <c r="A155" s="62" t="n">
        <v>43465</v>
      </c>
      <c r="B155" s="72" t="n">
        <v>470095632.82</v>
      </c>
      <c r="C155" s="73" t="n">
        <v>0.083</v>
      </c>
      <c r="D155" s="74" t="n">
        <f aca="false">AVERAGE(C144:C155)</f>
        <v>0.0401666666666667</v>
      </c>
    </row>
    <row r="156" customFormat="false" ht="15" hidden="false" customHeight="true" outlineLevel="0" collapsed="false">
      <c r="A156" s="62" t="n">
        <v>43496</v>
      </c>
      <c r="B156" s="72" t="n">
        <v>466430055.8</v>
      </c>
      <c r="C156" s="73" t="n">
        <v>0.052</v>
      </c>
      <c r="D156" s="74" t="n">
        <f aca="false">AVERAGE(C145:C156)</f>
        <v>0.0419833333333333</v>
      </c>
    </row>
    <row r="157" customFormat="false" ht="15" hidden="false" customHeight="true" outlineLevel="0" collapsed="false">
      <c r="A157" s="62" t="n">
        <v>43524</v>
      </c>
      <c r="B157" s="72" t="n">
        <v>463657031.14</v>
      </c>
      <c r="C157" s="73" t="n">
        <v>0.0303</v>
      </c>
      <c r="D157" s="74" t="n">
        <f aca="false">AVERAGE(C146:C157)</f>
        <v>0.0438333333333333</v>
      </c>
    </row>
    <row r="158" customFormat="false" ht="15" hidden="false" customHeight="true" outlineLevel="0" collapsed="false">
      <c r="A158" s="62" t="n">
        <v>43555</v>
      </c>
      <c r="B158" s="72" t="n">
        <v>459507886.39</v>
      </c>
      <c r="C158" s="73" t="n">
        <v>0.0646</v>
      </c>
      <c r="D158" s="74" t="n">
        <f aca="false">AVERAGE(C147:C158)</f>
        <v>0.0444</v>
      </c>
    </row>
    <row r="159" customFormat="false" ht="15" hidden="false" customHeight="true" outlineLevel="0" collapsed="false">
      <c r="A159" s="62" t="n">
        <v>43585</v>
      </c>
      <c r="B159" s="72" t="n">
        <v>456714398.25</v>
      </c>
      <c r="C159" s="73" t="n">
        <v>0.0313</v>
      </c>
      <c r="D159" s="74" t="n">
        <f aca="false">AVERAGE(C148:C159)</f>
        <v>0.044125</v>
      </c>
    </row>
    <row r="160" customFormat="false" ht="15" hidden="false" customHeight="true" outlineLevel="0" collapsed="false">
      <c r="A160" s="62" t="n">
        <v>43616</v>
      </c>
      <c r="B160" s="72" t="n">
        <v>453953438.62</v>
      </c>
      <c r="C160" s="73" t="n">
        <v>0.0306</v>
      </c>
      <c r="D160" s="74" t="n">
        <f aca="false">AVERAGE(C149:C160)</f>
        <v>0.0456416666666667</v>
      </c>
    </row>
    <row r="161" customFormat="false" ht="15" hidden="false" customHeight="true" outlineLevel="0" collapsed="false">
      <c r="A161" s="62" t="n">
        <v>43646</v>
      </c>
      <c r="B161" s="72" t="n">
        <v>450423740.56</v>
      </c>
      <c r="C161" s="73" t="n">
        <v>0.0505</v>
      </c>
      <c r="D161" s="74" t="n">
        <f aca="false">AVERAGE(C150:C161)</f>
        <v>0.044875</v>
      </c>
    </row>
    <row r="162" customFormat="false" ht="15" hidden="false" customHeight="true" outlineLevel="0" collapsed="false">
      <c r="A162" s="62" t="n">
        <v>43677</v>
      </c>
      <c r="B162" s="72" t="n">
        <v>448318134.58</v>
      </c>
      <c r="C162" s="73" t="n">
        <v>0.0139</v>
      </c>
      <c r="D162" s="74" t="n">
        <f aca="false">AVERAGE(C151:C162)</f>
        <v>0.0413583333333333</v>
      </c>
    </row>
    <row r="163" customFormat="false" ht="15" hidden="false" customHeight="true" outlineLevel="0" collapsed="false">
      <c r="A163" s="62" t="n">
        <v>43708</v>
      </c>
      <c r="B163" s="72" t="n">
        <v>445701947.07</v>
      </c>
      <c r="C163" s="73" t="n">
        <v>0.0274</v>
      </c>
      <c r="D163" s="74" t="n">
        <f aca="false">AVERAGE(C152:C163)</f>
        <v>0.0422166666666667</v>
      </c>
    </row>
    <row r="164" customFormat="false" ht="15" hidden="false" customHeight="true" outlineLevel="0" collapsed="false">
      <c r="A164" s="62" t="n">
        <v>43738</v>
      </c>
      <c r="B164" s="72" t="n">
        <v>442725549.48</v>
      </c>
      <c r="C164" s="73" t="n">
        <v>0.0369</v>
      </c>
      <c r="D164" s="74" t="n">
        <f aca="false">AVERAGE(C153:C164)</f>
        <v>0.0407833333333333</v>
      </c>
    </row>
    <row r="165" customFormat="false" ht="15" hidden="false" customHeight="true" outlineLevel="0" collapsed="false">
      <c r="A165" s="62" t="n">
        <v>43769</v>
      </c>
      <c r="B165" s="72" t="n">
        <v>439822247.42</v>
      </c>
      <c r="C165" s="73" t="n">
        <v>0.0352</v>
      </c>
      <c r="D165" s="74" t="n">
        <f aca="false">AVERAGE(C154:C165)</f>
        <v>0.0401583333333333</v>
      </c>
    </row>
    <row r="166" customFormat="false" ht="15" hidden="false" customHeight="true" outlineLevel="0" collapsed="false">
      <c r="A166" s="62" t="n">
        <v>43799</v>
      </c>
      <c r="B166" s="72" t="n">
        <v>436072799.05</v>
      </c>
      <c r="C166" s="73" t="n">
        <v>0.0576</v>
      </c>
      <c r="D166" s="74" t="n">
        <f aca="false">AVERAGE(C155:C166)</f>
        <v>0.042775</v>
      </c>
    </row>
    <row r="167" customFormat="false" ht="15" hidden="false" customHeight="true" outlineLevel="0" collapsed="false">
      <c r="A167" s="62" t="n">
        <v>43830</v>
      </c>
      <c r="B167" s="72" t="n">
        <v>433116559.13</v>
      </c>
      <c r="C167" s="73" t="n">
        <v>0.0373</v>
      </c>
      <c r="D167" s="74" t="n">
        <f aca="false">AVERAGE(C156:C167)</f>
        <v>0.0389666666666667</v>
      </c>
    </row>
    <row r="168" customFormat="false" ht="15" hidden="false" customHeight="true" outlineLevel="0" collapsed="false">
      <c r="A168" s="62" t="n">
        <v>43861</v>
      </c>
      <c r="B168" s="72" t="n">
        <v>428944302.53</v>
      </c>
      <c r="C168" s="73" t="n">
        <v>0.0697</v>
      </c>
      <c r="D168" s="74" t="n">
        <f aca="false">AVERAGE(C157:C168)</f>
        <v>0.0404416666666667</v>
      </c>
    </row>
    <row r="169" customFormat="false" ht="15" hidden="false" customHeight="true" outlineLevel="0" collapsed="false">
      <c r="A169" s="62" t="n">
        <v>43890</v>
      </c>
      <c r="B169" s="72" t="n">
        <v>426033945.4</v>
      </c>
      <c r="C169" s="73" t="n">
        <v>0.0368</v>
      </c>
      <c r="D169" s="74" t="n">
        <f aca="false">AVERAGE(C158:C169)</f>
        <v>0.0409833333333333</v>
      </c>
    </row>
    <row r="170" customFormat="false" ht="15" hidden="false" customHeight="true" outlineLevel="0" collapsed="false">
      <c r="A170" s="62" t="n">
        <v>43921</v>
      </c>
      <c r="B170" s="72" t="n">
        <v>423359699.63</v>
      </c>
      <c r="C170" s="73" t="n">
        <v>0.0305</v>
      </c>
      <c r="D170" s="74" t="n">
        <f aca="false">AVERAGE(C159:C170)</f>
        <v>0.0381416666666667</v>
      </c>
    </row>
    <row r="171" customFormat="false" ht="15" hidden="false" customHeight="true" outlineLevel="0" collapsed="false">
      <c r="A171" s="62" t="n">
        <v>43951</v>
      </c>
      <c r="B171" s="72" t="n">
        <v>420966869.55</v>
      </c>
      <c r="C171" s="73" t="n">
        <v>0.0229</v>
      </c>
      <c r="D171" s="74" t="n">
        <f aca="false">AVERAGE(C160:C171)</f>
        <v>0.0374416666666667</v>
      </c>
    </row>
    <row r="172" customFormat="false" ht="15" hidden="false" customHeight="true" outlineLevel="0" collapsed="false">
      <c r="A172" s="62" t="n">
        <v>43982</v>
      </c>
      <c r="B172" s="72" t="n">
        <v>418777012.32</v>
      </c>
      <c r="C172" s="73" t="n">
        <v>0.0173</v>
      </c>
      <c r="D172" s="74" t="n">
        <f aca="false">AVERAGE(C161:C172)</f>
        <v>0.0363333333333333</v>
      </c>
    </row>
    <row r="173" customFormat="false" ht="15" hidden="false" customHeight="true" outlineLevel="0" collapsed="false">
      <c r="A173" s="62" t="n">
        <v>44012</v>
      </c>
      <c r="B173" s="72" t="n">
        <v>415985032.99</v>
      </c>
      <c r="C173" s="73" t="n">
        <v>0.0344</v>
      </c>
      <c r="D173" s="74" t="n">
        <f aca="false">AVERAGE(C162:C173)</f>
        <v>0.0349916666666667</v>
      </c>
    </row>
    <row r="174" customFormat="false" ht="15" hidden="false" customHeight="true" outlineLevel="0" collapsed="false">
      <c r="A174" s="62" t="n">
        <v>44043</v>
      </c>
      <c r="B174" s="72" t="n">
        <v>413817106.33</v>
      </c>
      <c r="C174" s="73" t="n">
        <v>0.017</v>
      </c>
      <c r="D174" s="74" t="n">
        <f aca="false">AVERAGE(C163:C174)</f>
        <v>0.03525</v>
      </c>
    </row>
    <row r="175" customFormat="false" ht="15" hidden="false" customHeight="true" outlineLevel="0" collapsed="false">
      <c r="A175" s="62" t="n">
        <v>44074</v>
      </c>
      <c r="B175" s="72" t="n">
        <v>411222879.13</v>
      </c>
      <c r="C175" s="73" t="n">
        <v>0.0291</v>
      </c>
      <c r="D175" s="74" t="n">
        <f aca="false">AVERAGE(C164:C175)</f>
        <v>0.0353916666666667</v>
      </c>
    </row>
    <row r="176" customFormat="false" ht="15" hidden="false" customHeight="true" outlineLevel="0" collapsed="false">
      <c r="A176" s="62" t="n">
        <v>44104</v>
      </c>
      <c r="B176" s="72" t="n">
        <v>409012522.58</v>
      </c>
      <c r="C176" s="73" t="n">
        <v>0.0183</v>
      </c>
      <c r="D176" s="74" t="n">
        <f aca="false">AVERAGE(C165:C176)</f>
        <v>0.0338416666666667</v>
      </c>
    </row>
    <row r="177" customFormat="false" ht="15" hidden="false" customHeight="true" outlineLevel="0" collapsed="false">
      <c r="A177" s="62" t="n">
        <v>44135</v>
      </c>
      <c r="B177" s="72" t="n">
        <v>406456690.7</v>
      </c>
      <c r="C177" s="73" t="n">
        <v>0.0283</v>
      </c>
      <c r="D177" s="74" t="n">
        <f aca="false">AVERAGE(C166:C177)</f>
        <v>0.0332666666666667</v>
      </c>
    </row>
    <row r="178" customFormat="false" ht="15" hidden="false" customHeight="true" outlineLevel="0" collapsed="false">
      <c r="A178" s="62" t="n">
        <v>44165</v>
      </c>
      <c r="B178" s="72" t="n">
        <v>404011255.55</v>
      </c>
      <c r="C178" s="73" t="n">
        <v>0.0252</v>
      </c>
      <c r="D178" s="74" t="n">
        <f aca="false">AVERAGE(C167:C178)</f>
        <v>0.0305666666666667</v>
      </c>
    </row>
    <row r="179" customFormat="false" ht="15" hidden="false" customHeight="true" outlineLevel="0" collapsed="false">
      <c r="A179" s="62" t="n">
        <v>44196</v>
      </c>
      <c r="B179" s="72" t="n">
        <v>401224015.07</v>
      </c>
      <c r="C179" s="73" t="n">
        <v>0.0364</v>
      </c>
      <c r="D179" s="74" t="n">
        <f aca="false">AVERAGE(C168:C179)</f>
        <v>0.0304916666666667</v>
      </c>
    </row>
    <row r="180" customFormat="false" ht="15" hidden="false" customHeight="true" outlineLevel="0" collapsed="false">
      <c r="A180" s="62" t="n">
        <v>44227</v>
      </c>
      <c r="B180" s="72" t="n">
        <v>394062936.3</v>
      </c>
      <c r="C180" s="73" t="n">
        <v>0.1562</v>
      </c>
      <c r="D180" s="74" t="n">
        <f aca="false">AVERAGE(C169:C180)</f>
        <v>0.0377</v>
      </c>
    </row>
    <row r="181" customFormat="false" ht="15" hidden="false" customHeight="true" outlineLevel="0" collapsed="false">
      <c r="A181" s="62" t="n">
        <v>44255</v>
      </c>
      <c r="B181" s="72" t="n">
        <v>390296588.65</v>
      </c>
      <c r="C181" s="73" t="n">
        <v>0.0663</v>
      </c>
      <c r="D181" s="74" t="n">
        <f aca="false">AVERAGE(C170:C181)</f>
        <v>0.0401583333333333</v>
      </c>
    </row>
    <row r="182" customFormat="false" ht="15" hidden="false" customHeight="true" outlineLevel="0" collapsed="false">
      <c r="A182" s="62" t="n">
        <v>44286</v>
      </c>
      <c r="B182" s="72" t="n">
        <v>386886600.99</v>
      </c>
      <c r="C182" s="73" t="n">
        <v>0.0567</v>
      </c>
      <c r="D182" s="74" t="n">
        <f aca="false">AVERAGE(C171:C182)</f>
        <v>0.0423416666666667</v>
      </c>
    </row>
    <row r="183" customFormat="false" ht="15" hidden="false" customHeight="true" outlineLevel="0" collapsed="false">
      <c r="A183" s="62" t="n">
        <v>44316</v>
      </c>
      <c r="B183" s="72" t="n">
        <v>383930263.92</v>
      </c>
      <c r="C183" s="73" t="n">
        <v>0.0438</v>
      </c>
      <c r="D183" s="74" t="n">
        <f aca="false">AVERAGE(C172:C183)</f>
        <v>0.0440833333333333</v>
      </c>
    </row>
    <row r="184" customFormat="false" ht="15" hidden="false" customHeight="true" outlineLevel="0" collapsed="false">
      <c r="A184" s="62" t="n">
        <v>44347</v>
      </c>
      <c r="B184" s="72" t="n">
        <v>381689928.79</v>
      </c>
      <c r="C184" s="73" t="n">
        <v>0.0223</v>
      </c>
      <c r="D184" s="74" t="n">
        <f aca="false">AVERAGE(C173:C184)</f>
        <v>0.0445</v>
      </c>
    </row>
    <row r="185" customFormat="false" ht="15" hidden="false" customHeight="true" outlineLevel="0" collapsed="false">
      <c r="A185" s="62" t="n">
        <v>44377</v>
      </c>
      <c r="B185" s="72" t="n">
        <v>374936823.56</v>
      </c>
      <c r="C185" s="73" t="n">
        <v>0.1532</v>
      </c>
      <c r="D185" s="74" t="n">
        <f aca="false">AVERAGE(C174:C185)</f>
        <v>0.0544</v>
      </c>
    </row>
    <row r="186" customFormat="false" ht="15" hidden="false" customHeight="true" outlineLevel="0" collapsed="false">
      <c r="A186" s="62" t="n">
        <v>44408</v>
      </c>
      <c r="B186" s="72" t="n">
        <v>372346758.29</v>
      </c>
      <c r="C186" s="73" t="n">
        <v>0.0343</v>
      </c>
      <c r="D186" s="74" t="n">
        <f aca="false">AVERAGE(C175:C186)</f>
        <v>0.0558416666666667</v>
      </c>
    </row>
    <row r="187" customFormat="false" ht="15" hidden="false" customHeight="true" outlineLevel="0" collapsed="false">
      <c r="A187" s="62" t="n">
        <v>44439</v>
      </c>
      <c r="B187" s="72" t="n">
        <v>369796020.49</v>
      </c>
      <c r="C187" s="73" t="n">
        <v>0.0333</v>
      </c>
      <c r="D187" s="74" t="n">
        <f aca="false">AVERAGE(C176:C187)</f>
        <v>0.0561916666666667</v>
      </c>
    </row>
    <row r="188" customFormat="false" ht="15" hidden="false" customHeight="true" outlineLevel="0" collapsed="false">
      <c r="A188" s="62" t="n">
        <v>44469</v>
      </c>
      <c r="B188" s="72" t="n">
        <v>366293375.86</v>
      </c>
      <c r="C188" s="73" t="n">
        <v>0.0631</v>
      </c>
      <c r="D188" s="74" t="n">
        <f aca="false">AVERAGE(C177:C188)</f>
        <v>0.059925</v>
      </c>
    </row>
    <row r="189" customFormat="false" ht="15" hidden="false" customHeight="true" outlineLevel="0" collapsed="false">
      <c r="A189" s="62" t="n">
        <v>44500</v>
      </c>
      <c r="B189" s="72" t="n">
        <v>363383528.5</v>
      </c>
      <c r="C189" s="73" t="n">
        <v>0.0453</v>
      </c>
      <c r="D189" s="74" t="n">
        <f aca="false">AVERAGE(C178:C189)</f>
        <v>0.0613416666666667</v>
      </c>
    </row>
    <row r="190" customFormat="false" ht="15" hidden="false" customHeight="true" outlineLevel="0" collapsed="false">
      <c r="A190" s="62" t="n">
        <v>44530</v>
      </c>
      <c r="B190" s="72" t="n">
        <v>358244929.78</v>
      </c>
      <c r="C190" s="73" t="n">
        <v>0.1141</v>
      </c>
      <c r="D190" s="74" t="n">
        <f aca="false">AVERAGE(C179:C190)</f>
        <v>0.06875</v>
      </c>
    </row>
    <row r="191" customFormat="false" ht="15" hidden="false" customHeight="true" outlineLevel="0" collapsed="false">
      <c r="A191" s="62" t="n">
        <v>44561</v>
      </c>
      <c r="B191" s="72" t="n">
        <v>355785795.12</v>
      </c>
      <c r="C191" s="73" t="n">
        <v>0.0321</v>
      </c>
      <c r="D191" s="74" t="n">
        <f aca="false">AVERAGE(C180:C191)</f>
        <v>0.0683916666666667</v>
      </c>
    </row>
    <row r="192" customFormat="false" ht="15" hidden="false" customHeight="true" outlineLevel="0" collapsed="false">
      <c r="A192" s="62" t="n">
        <v>44592</v>
      </c>
      <c r="B192" s="72" t="n">
        <v>354069406.87</v>
      </c>
      <c r="C192" s="73" t="n">
        <v>0.0076</v>
      </c>
      <c r="D192" s="74" t="n">
        <f aca="false">AVERAGE(C181:C192)</f>
        <v>0.0560083333333333</v>
      </c>
    </row>
    <row r="193" customFormat="false" ht="15" hidden="false" customHeight="true" outlineLevel="0" collapsed="false">
      <c r="A193" s="62" t="n">
        <v>44620</v>
      </c>
      <c r="B193" s="72" t="n">
        <v>350892535.84</v>
      </c>
      <c r="C193" s="73" t="n">
        <v>0.0557</v>
      </c>
      <c r="D193" s="74" t="n">
        <f aca="false">AVERAGE(C182:C193)</f>
        <v>0.055125</v>
      </c>
    </row>
    <row r="194" customFormat="false" ht="15" hidden="false" customHeight="true" outlineLevel="0" collapsed="false">
      <c r="A194" s="62" t="n">
        <v>44651</v>
      </c>
      <c r="B194" s="72" t="n">
        <v>347041221.15</v>
      </c>
      <c r="C194" s="73" t="n">
        <v>0.078</v>
      </c>
      <c r="D194" s="74" t="n">
        <f aca="false">AVERAGE(C183:C194)</f>
        <v>0.0569</v>
      </c>
    </row>
    <row r="195" customFormat="false" ht="15" hidden="false" customHeight="true" outlineLevel="0" collapsed="false">
      <c r="A195" s="62" t="n">
        <v>44681</v>
      </c>
      <c r="B195" s="72" t="n">
        <v>343648469.9</v>
      </c>
      <c r="C195" s="73" t="n">
        <v>0.0641</v>
      </c>
      <c r="D195" s="74" t="n">
        <f aca="false">AVERAGE(C184:C195)</f>
        <v>0.0585916666666667</v>
      </c>
    </row>
    <row r="196" customFormat="false" ht="15" hidden="false" customHeight="true" outlineLevel="0" collapsed="false">
      <c r="A196" s="62" t="n">
        <v>44712</v>
      </c>
      <c r="B196" s="72" t="n">
        <v>339013476.48</v>
      </c>
      <c r="C196" s="73" t="n">
        <v>0.105</v>
      </c>
      <c r="D196" s="74" t="n">
        <f aca="false">AVERAGE(C185:C196)</f>
        <v>0.0654833333333333</v>
      </c>
    </row>
    <row r="197" customFormat="false" ht="15" hidden="false" customHeight="true" outlineLevel="0" collapsed="false">
      <c r="A197" s="62" t="n">
        <v>44742</v>
      </c>
      <c r="B197" s="72" t="n">
        <v>335249546.55</v>
      </c>
      <c r="C197" s="73" t="n">
        <v>0.0784</v>
      </c>
      <c r="D197" s="74" t="n">
        <f aca="false">AVERAGE(C186:C197)</f>
        <v>0.05925</v>
      </c>
    </row>
    <row r="198" customFormat="false" ht="15" hidden="false" customHeight="true" outlineLevel="0" collapsed="false">
      <c r="A198" s="62" t="n">
        <v>44773</v>
      </c>
      <c r="B198" s="72" t="n">
        <v>329702469.44</v>
      </c>
      <c r="C198" s="73" t="n">
        <v>0.1371</v>
      </c>
      <c r="D198" s="74" t="n">
        <f aca="false">AVERAGE(C187:C198)</f>
        <v>0.0678166666666667</v>
      </c>
    </row>
    <row r="199" customFormat="false" ht="15" hidden="false" customHeight="true" outlineLevel="0" collapsed="false">
      <c r="A199" s="62" t="n">
        <v>44804</v>
      </c>
      <c r="B199" s="72" t="n">
        <v>325278726.23</v>
      </c>
      <c r="C199" s="73" t="n">
        <v>0.1032</v>
      </c>
      <c r="D199" s="74" t="n">
        <f aca="false">AVERAGE(C188:C199)</f>
        <v>0.0736416666666667</v>
      </c>
    </row>
    <row r="200" customFormat="false" ht="15" hidden="false" customHeight="true" outlineLevel="0" collapsed="false">
      <c r="A200" s="62" t="n">
        <v>44834</v>
      </c>
      <c r="B200" s="72" t="n">
        <v>321799699.78</v>
      </c>
      <c r="C200" s="73" t="n">
        <v>0.0727</v>
      </c>
      <c r="D200" s="74" t="n">
        <f aca="false">AVERAGE(C189:C200)</f>
        <v>0.0744416666666667</v>
      </c>
    </row>
    <row r="201" customFormat="false" ht="15" hidden="false" customHeight="true" outlineLevel="0" collapsed="false">
      <c r="A201" s="62" t="n">
        <v>44865</v>
      </c>
      <c r="B201" s="72" t="n">
        <v>318085536.31</v>
      </c>
      <c r="C201" s="73" t="n">
        <v>0.0817</v>
      </c>
      <c r="D201" s="74" t="n">
        <f aca="false">AVERAGE(C190:C201)</f>
        <v>0.077475</v>
      </c>
    </row>
    <row r="202" customFormat="false" ht="15" hidden="false" customHeight="true" outlineLevel="0" collapsed="false">
      <c r="A202" s="62" t="n">
        <v>44895</v>
      </c>
      <c r="B202" s="72" t="n">
        <v>313266824.39</v>
      </c>
      <c r="C202" s="73" t="n">
        <v>0.1208</v>
      </c>
      <c r="D202" s="74" t="n">
        <f aca="false">AVERAGE(C191:C202)</f>
        <v>0.0780333333333333</v>
      </c>
    </row>
    <row r="203" customFormat="false" ht="15" hidden="false" customHeight="true" outlineLevel="0" collapsed="false">
      <c r="A203" s="62" t="n">
        <v>44926</v>
      </c>
      <c r="B203" s="72" t="n">
        <v>309623389.21</v>
      </c>
      <c r="C203" s="73" t="n">
        <v>0.082</v>
      </c>
      <c r="D203" s="74" t="n">
        <f aca="false">AVERAGE(C192:C203)</f>
        <v>0.0821916666666667</v>
      </c>
    </row>
    <row r="204" customFormat="false" ht="15" hidden="false" customHeight="true" outlineLevel="0" collapsed="false">
      <c r="A204" s="62" t="n">
        <v>44957</v>
      </c>
      <c r="B204" s="72" t="n">
        <v>304716174.55</v>
      </c>
      <c r="C204" s="73" t="n">
        <v>0.1276</v>
      </c>
      <c r="D204" s="74" t="n">
        <f aca="false">AVERAGE(C193:C204)</f>
        <v>0.0921916666666667</v>
      </c>
    </row>
    <row r="205" customFormat="false" ht="15" hidden="false" customHeight="true" outlineLevel="0" collapsed="false">
      <c r="A205" s="62" t="n">
        <v>44985</v>
      </c>
      <c r="B205" s="72" t="n">
        <v>299352040.93</v>
      </c>
      <c r="C205" s="73" t="n">
        <v>0.1457</v>
      </c>
      <c r="D205" s="74" t="n">
        <f aca="false">AVERAGE(C194:C205)</f>
        <v>0.0996916666666667</v>
      </c>
    </row>
    <row r="206" customFormat="false" ht="15" hidden="false" customHeight="true" outlineLevel="0" collapsed="false">
      <c r="A206" s="62" t="n">
        <v>45016</v>
      </c>
      <c r="B206" s="72" t="n">
        <v>295855135.13</v>
      </c>
      <c r="C206" s="73" t="n">
        <v>0.0814</v>
      </c>
      <c r="D206" s="74" t="n">
        <f aca="false">AVERAGE(C195:C206)</f>
        <v>0.099975</v>
      </c>
    </row>
    <row r="207" customFormat="false" ht="15" hidden="false" customHeight="true" outlineLevel="0" collapsed="false">
      <c r="A207" s="62" t="n">
        <v>45046</v>
      </c>
      <c r="B207" s="72" t="n">
        <v>293575001.76</v>
      </c>
      <c r="C207" s="73" t="n">
        <v>0.0356</v>
      </c>
      <c r="D207" s="74" t="n">
        <f aca="false">AVERAGE(C196:C207)</f>
        <v>0.0976</v>
      </c>
    </row>
    <row r="208" customFormat="false" ht="15" hidden="false" customHeight="true" outlineLevel="0" collapsed="false">
      <c r="A208" s="62" t="n">
        <v>45077</v>
      </c>
      <c r="B208" s="72" t="n">
        <v>285941605.54</v>
      </c>
      <c r="C208" s="73" t="n">
        <v>0.2283</v>
      </c>
      <c r="D208" s="74" t="n">
        <f aca="false">AVERAGE(C197:C208)</f>
        <v>0.107875</v>
      </c>
    </row>
    <row r="209" customFormat="false" ht="15" hidden="false" customHeight="true" outlineLevel="0" collapsed="false">
      <c r="A209" s="62" t="n">
        <v>45107</v>
      </c>
      <c r="B209" s="72" t="n">
        <v>283467380.66</v>
      </c>
      <c r="C209" s="73" t="n">
        <v>0.0457</v>
      </c>
      <c r="D209" s="74" t="n">
        <f aca="false">AVERAGE(C198:C209)</f>
        <v>0.10515</v>
      </c>
    </row>
    <row r="210" customFormat="false" ht="15" hidden="false" customHeight="true" outlineLevel="0" collapsed="false">
      <c r="A210" s="62" t="n">
        <v>45138</v>
      </c>
      <c r="B210" s="72" t="n">
        <v>279901246.62</v>
      </c>
      <c r="C210" s="73" t="n">
        <v>0.0897</v>
      </c>
      <c r="D210" s="74" t="n">
        <f aca="false">AVERAGE(C199:C210)</f>
        <v>0.1012</v>
      </c>
    </row>
    <row r="211" customFormat="false" ht="15" hidden="false" customHeight="true" outlineLevel="0" collapsed="false">
      <c r="A211" s="62" t="n">
        <v>45169</v>
      </c>
      <c r="B211" s="72" t="n">
        <v>267997342.33</v>
      </c>
      <c r="C211" s="73" t="n">
        <v>0.3707</v>
      </c>
      <c r="D211" s="74" t="n">
        <f aca="false">AVERAGE(C200:C211)</f>
        <v>0.123491666666667</v>
      </c>
    </row>
    <row r="212" customFormat="false" ht="15" hidden="false" customHeight="true" outlineLevel="0" collapsed="false">
      <c r="A212" s="62" t="n">
        <v>45199</v>
      </c>
      <c r="B212" s="72" t="n">
        <v>264222561.99</v>
      </c>
      <c r="C212" s="73" t="n">
        <v>0.1053</v>
      </c>
      <c r="D212" s="74" t="n">
        <f aca="false">AVERAGE(C201:C212)</f>
        <v>0.126208333333333</v>
      </c>
    </row>
    <row r="213" customFormat="false" ht="15" hidden="false" customHeight="true" outlineLevel="0" collapsed="false">
      <c r="A213" s="62" t="n">
        <v>45230</v>
      </c>
      <c r="B213" s="72" t="n">
        <v>261528736.93</v>
      </c>
      <c r="C213" s="73" t="n">
        <v>0.0616</v>
      </c>
      <c r="D213" s="74" t="n">
        <f aca="false">AVERAGE(C202:C213)</f>
        <v>0.124533333333333</v>
      </c>
    </row>
    <row r="214" customFormat="false" ht="15" hidden="false" customHeight="true" outlineLevel="0" collapsed="false">
      <c r="A214" s="62" t="n">
        <v>45260</v>
      </c>
      <c r="B214" s="72" t="n">
        <v>257296858.06</v>
      </c>
      <c r="C214" s="73" t="n">
        <v>0.127</v>
      </c>
      <c r="D214" s="74" t="n">
        <f aca="false">AVERAGE(C203:C214)</f>
        <v>0.12505</v>
      </c>
    </row>
    <row r="215" customFormat="false" ht="15" hidden="false" customHeight="true" outlineLevel="0" collapsed="false">
      <c r="A215" s="62" t="n">
        <v>45291</v>
      </c>
      <c r="B215" s="72" t="n">
        <v>254192274.4</v>
      </c>
      <c r="C215" s="73" t="n">
        <v>0.0819</v>
      </c>
      <c r="D215" s="74" t="n">
        <f aca="false">AVERAGE(C204:C215)</f>
        <v>0.125041666666667</v>
      </c>
    </row>
    <row r="216" customFormat="false" ht="15" hidden="false" customHeight="true" outlineLevel="0" collapsed="false">
      <c r="A216" s="62" t="n">
        <v>45322</v>
      </c>
      <c r="B216" s="72" t="n">
        <v>250890723.85</v>
      </c>
      <c r="C216" s="73" t="n">
        <v>0.0917</v>
      </c>
      <c r="D216" s="74" t="n">
        <f aca="false">AVERAGE(C205:C216)</f>
        <v>0.12205</v>
      </c>
    </row>
    <row r="217" customFormat="false" ht="15" hidden="false" customHeight="true" outlineLevel="0" collapsed="false">
      <c r="A217" s="62" t="n">
        <v>45351</v>
      </c>
      <c r="B217" s="72" t="n">
        <v>246170935.71</v>
      </c>
      <c r="C217" s="73" t="n">
        <v>0.1535</v>
      </c>
      <c r="D217" s="74" t="n">
        <f aca="false">AVERAGE(C206:C217)</f>
        <v>0.1227</v>
      </c>
    </row>
    <row r="218" customFormat="false" ht="15" hidden="false" customHeight="true" outlineLevel="0" collapsed="false">
      <c r="A218" s="62" t="n">
        <v>45382</v>
      </c>
      <c r="B218" s="72" t="n">
        <v>243953816.04</v>
      </c>
      <c r="C218" s="73" t="n">
        <v>0.0457</v>
      </c>
      <c r="D218" s="74" t="n">
        <f aca="false">AVERAGE(C207:C218)</f>
        <v>0.119725</v>
      </c>
    </row>
    <row r="219" customFormat="false" ht="15" hidden="false" customHeight="true" outlineLevel="0" collapsed="false">
      <c r="A219" s="62" t="n">
        <v>45412</v>
      </c>
      <c r="B219" s="72" t="n">
        <v>240089048.43</v>
      </c>
      <c r="C219" s="73" t="n">
        <v>0.1213</v>
      </c>
      <c r="D219" s="74" t="n">
        <f aca="false">AVERAGE(C208:C219)</f>
        <v>0.126866666666667</v>
      </c>
    </row>
    <row r="220" customFormat="false" ht="15" hidden="false" customHeight="true" outlineLevel="0" collapsed="false">
      <c r="A220" s="62" t="n">
        <v>45443</v>
      </c>
      <c r="B220" s="72" t="n">
        <v>234732487.05</v>
      </c>
      <c r="C220" s="73" t="n">
        <v>0.1878</v>
      </c>
      <c r="D220" s="74" t="n">
        <f aca="false">AVERAGE(C209:C220)</f>
        <v>0.123491666666667</v>
      </c>
    </row>
    <row r="221" customFormat="false" ht="15" hidden="false" customHeight="true" outlineLevel="0" collapsed="false">
      <c r="A221" s="62" t="n">
        <v>45473</v>
      </c>
      <c r="B221" s="72" t="n">
        <v>232354732.02</v>
      </c>
      <c r="C221" s="73" t="n">
        <v>0.0572</v>
      </c>
      <c r="D221" s="74" t="n">
        <f aca="false">AVERAGE(C210:C221)</f>
        <v>0.12445</v>
      </c>
    </row>
    <row r="222" customFormat="false" ht="15" hidden="false" customHeight="true" outlineLevel="0" collapsed="false">
      <c r="A222" s="62" t="n">
        <v>45504</v>
      </c>
      <c r="B222" s="72" t="n">
        <v>229376271.99</v>
      </c>
      <c r="C222" s="73" t="n">
        <v>0.087</v>
      </c>
      <c r="D222" s="74" t="n">
        <f aca="false">AVERAGE(C211:C222)</f>
        <v>0.124225</v>
      </c>
    </row>
    <row r="223" customFormat="false" ht="15" hidden="false" customHeight="true" outlineLevel="0" collapsed="false">
      <c r="A223" s="62" t="n">
        <v>45535</v>
      </c>
      <c r="B223" s="72" t="n">
        <v>225949383.56</v>
      </c>
      <c r="C223" s="73" t="n">
        <v>0.1097</v>
      </c>
      <c r="D223" s="74" t="n">
        <f aca="false">AVERAGE(C212:C223)</f>
        <v>0.102475</v>
      </c>
    </row>
    <row r="224" customFormat="false" ht="15" hidden="false" customHeight="true" outlineLevel="0" collapsed="false">
      <c r="A224" s="62" t="n">
        <v>45565</v>
      </c>
      <c r="B224" s="72" t="n">
        <v>222760818.45</v>
      </c>
      <c r="C224" s="73" t="n">
        <v>0.1002</v>
      </c>
      <c r="D224" s="74" t="n">
        <f aca="false">AVERAGE(C213:C224)</f>
        <v>0.10205</v>
      </c>
    </row>
    <row r="225" customFormat="false" ht="15" hidden="false" customHeight="true" outlineLevel="0" collapsed="false">
      <c r="A225" s="62" t="n">
        <v>45596</v>
      </c>
      <c r="B225" s="72" t="n">
        <v>219032771.87</v>
      </c>
      <c r="C225" s="73" t="n">
        <v>0.128</v>
      </c>
      <c r="D225" s="74" t="n">
        <f aca="false">AVERAGE(C214:C225)</f>
        <v>0.107583333333333</v>
      </c>
    </row>
    <row r="226" customFormat="false" ht="15" hidden="false" customHeight="true" outlineLevel="0" collapsed="false">
      <c r="A226" s="62" t="n">
        <v>45626</v>
      </c>
      <c r="B226" s="72" t="n">
        <v>216045592.82</v>
      </c>
      <c r="C226" s="73" t="n">
        <v>0.094</v>
      </c>
      <c r="D226" s="74" t="n">
        <f aca="false">AVERAGE(C215:C226)</f>
        <v>0.104833333333333</v>
      </c>
    </row>
    <row r="227" customFormat="false" ht="15" hidden="false" customHeight="true" outlineLevel="0" collapsed="false">
      <c r="A227" s="62" t="n">
        <v>45657</v>
      </c>
      <c r="B227" s="72" t="n">
        <v>213256518.88</v>
      </c>
      <c r="C227" s="73" t="n">
        <v>0.0856</v>
      </c>
      <c r="D227" s="74" t="n">
        <f aca="false">AVERAGE(C216:C227)</f>
        <v>0.105141666666667</v>
      </c>
    </row>
    <row r="228" customFormat="false" ht="15" hidden="false" customHeight="true" outlineLevel="0" collapsed="false">
      <c r="A228" s="62" t="n">
        <v>45688</v>
      </c>
      <c r="B228" s="72" t="n">
        <v>211167087.62</v>
      </c>
      <c r="C228" s="73" t="n">
        <v>0.0499</v>
      </c>
      <c r="D228" s="74" t="n">
        <f aca="false">AVERAGE(C217:C228)</f>
        <v>0.101658333333333</v>
      </c>
    </row>
    <row r="229" customFormat="false" ht="15" hidden="false" customHeight="true" outlineLevel="0" collapsed="false">
      <c r="A229" s="62" t="n">
        <v>45716</v>
      </c>
      <c r="B229" s="72" t="n">
        <v>208229559.89</v>
      </c>
      <c r="C229" s="73" t="n">
        <v>0.0956</v>
      </c>
      <c r="D229" s="74" t="n">
        <f aca="false">AVERAGE(C218:C229)</f>
        <v>0.0968333333333333</v>
      </c>
    </row>
    <row r="230" customFormat="false" ht="15" hidden="false" customHeight="true" outlineLevel="0" collapsed="false">
      <c r="A230" s="62" t="n">
        <v>45747</v>
      </c>
      <c r="B230" s="72" t="n">
        <v>206010552.46</v>
      </c>
      <c r="C230" s="73" t="n">
        <v>0.0586</v>
      </c>
      <c r="D230" s="74" t="n">
        <f aca="false">AVERAGE(C219:C230)</f>
        <v>0.0979083333333333</v>
      </c>
    </row>
    <row r="231" customFormat="false" ht="15" hidden="false" customHeight="true" outlineLevel="0" collapsed="false">
      <c r="A231" s="62" t="n">
        <v>45777</v>
      </c>
      <c r="B231" s="72" t="n">
        <v>203000508.88</v>
      </c>
      <c r="C231" s="73" t="n">
        <v>0.1022</v>
      </c>
      <c r="D231" s="74" t="n">
        <f aca="false">AVERAGE(C220:C231)</f>
        <v>0.0963166666666667</v>
      </c>
    </row>
    <row r="232" customFormat="false" ht="15" hidden="false" customHeight="true" outlineLevel="0" collapsed="false">
      <c r="A232" s="62" t="n">
        <v>45808</v>
      </c>
      <c r="B232" s="72" t="n">
        <v>200324319.78</v>
      </c>
      <c r="C232" s="73" t="n">
        <v>0.0859</v>
      </c>
      <c r="D232" s="74" t="n">
        <f aca="false">AVERAGE(C221:C232)</f>
        <v>0.087825</v>
      </c>
    </row>
    <row r="233" customFormat="false" ht="15" hidden="false" customHeight="true" outlineLevel="0" collapsed="false">
      <c r="A233" s="62" t="n">
        <v>45838</v>
      </c>
      <c r="B233" s="72" t="n">
        <v>197852166.38</v>
      </c>
      <c r="C233" s="73" t="n">
        <v>0.0769</v>
      </c>
      <c r="D233" s="74" t="n">
        <f aca="false">AVERAGE(C222:C233)</f>
        <v>0.0894666666666667</v>
      </c>
    </row>
    <row r="234" customFormat="false" ht="15" hidden="false" customHeight="true" outlineLevel="0" collapsed="false">
      <c r="A234" s="62" t="n">
        <v>45869</v>
      </c>
      <c r="B234" s="72" t="n">
        <v>194902470.65</v>
      </c>
      <c r="C234" s="73" t="n">
        <v>0.1047</v>
      </c>
      <c r="D234" s="74" t="n">
        <f aca="false">AVERAGE(C223:C234)</f>
        <v>0.0909416666666667</v>
      </c>
    </row>
    <row r="235" customFormat="false" ht="15" hidden="false" customHeight="true" outlineLevel="0" collapsed="false">
      <c r="A235" s="62" t="n">
        <v>45900</v>
      </c>
      <c r="B235" s="72" t="n">
        <v>193875767.6</v>
      </c>
      <c r="C235" s="73" t="n">
        <v>-0.0069</v>
      </c>
      <c r="D235" s="74" t="n">
        <f aca="false">AVERAGE(C224:C235)</f>
        <v>0.081225</v>
      </c>
    </row>
    <row r="236" customFormat="false" ht="15" hidden="false" customHeight="true" outlineLevel="0" collapsed="false">
      <c r="A236" s="62" t="n">
        <v>45930</v>
      </c>
      <c r="B236" s="72" t="n">
        <v>190178007.39</v>
      </c>
      <c r="C236" s="73" t="n">
        <v>0.148</v>
      </c>
      <c r="D236" s="74" t="n">
        <f aca="false">AVERAGE(C225:C236)</f>
        <v>0.0852083333333333</v>
      </c>
    </row>
    <row r="237" customFormat="false" ht="15" hidden="false" customHeight="true" outlineLevel="0" collapsed="false">
      <c r="A237" s="62" t="n">
        <v>45961</v>
      </c>
      <c r="B237" s="72" t="n">
        <v>187664175.03</v>
      </c>
      <c r="C237" s="73" t="n">
        <v>0.0843</v>
      </c>
      <c r="D237" s="74" t="n">
        <f aca="false">AVERAGE(C226:C237)</f>
        <v>0.0815666666666667</v>
      </c>
    </row>
    <row r="238" customFormat="false" ht="15" hidden="false" customHeight="true" outlineLevel="0" collapsed="false">
      <c r="A238" s="62" t="n">
        <v>45991</v>
      </c>
      <c r="B238" s="72" t="n">
        <v>185457456.17</v>
      </c>
      <c r="C238" s="73" t="n">
        <v>0.0673</v>
      </c>
      <c r="D238" s="74" t="n">
        <f aca="false">AVERAGE(C227:C238)</f>
        <v>0.0793416666666667</v>
      </c>
    </row>
    <row r="239" customFormat="false" ht="15" hidden="false" customHeight="true" outlineLevel="0" collapsed="false">
      <c r="A239" s="62" t="n">
        <v>46022</v>
      </c>
      <c r="B239" s="72" t="n">
        <v>183345025.87</v>
      </c>
      <c r="C239" s="73" t="n">
        <v>0.0654</v>
      </c>
      <c r="D239" s="74" t="n">
        <f aca="false">AVERAGE(C228:C239)</f>
        <v>0.0776583333333333</v>
      </c>
    </row>
    <row r="240" customFormat="false" ht="15" hidden="false" customHeight="true" outlineLevel="0" collapsed="false">
      <c r="A240" s="62" t="n">
        <v>46053</v>
      </c>
      <c r="B240" s="72" t="n">
        <v>181527111.07</v>
      </c>
      <c r="C240" s="73" t="n">
        <v>0.0479</v>
      </c>
      <c r="D240" s="74" t="n">
        <f aca="false">AVERAGE(C229:C240)</f>
        <v>0.0774916666666667</v>
      </c>
    </row>
    <row r="241" customFormat="false" ht="15" hidden="false" customHeight="true" outlineLevel="0" collapsed="false">
      <c r="A241" s="62" t="n">
        <v>46081</v>
      </c>
      <c r="B241" s="72" t="n">
        <v>179615033.4</v>
      </c>
      <c r="C241" s="73" t="n">
        <v>0.0544</v>
      </c>
      <c r="D241" s="74" t="n">
        <f aca="false">AVERAGE(C230:C241)</f>
        <v>0.0740583333333333</v>
      </c>
    </row>
    <row r="242" customFormat="false" ht="15" hidden="false" customHeight="true" outlineLevel="0" collapsed="false">
      <c r="A242" s="62" t="n">
        <v>46112</v>
      </c>
      <c r="B242" s="72" t="n">
        <v>177274344.59</v>
      </c>
      <c r="C242" s="73" t="n">
        <v>0.0821</v>
      </c>
      <c r="D242" s="74" t="n">
        <f aca="false">AVERAGE(C231:C242)</f>
        <v>0.0760166666666667</v>
      </c>
    </row>
    <row r="243" customFormat="false" ht="15" hidden="false" customHeight="true" outlineLevel="0" collapsed="false">
      <c r="A243" s="62" t="n">
        <v>46142</v>
      </c>
      <c r="B243" s="72" t="n">
        <v>174966228.05</v>
      </c>
      <c r="C243" s="73" t="n">
        <v>0.0813</v>
      </c>
      <c r="D243" s="74" t="n">
        <f aca="false">AVERAGE(C232:C243)</f>
        <v>0.074275</v>
      </c>
    </row>
    <row r="244" customFormat="false" ht="15" hidden="false" customHeight="true" outlineLevel="0" collapsed="false">
      <c r="A244" s="62" t="n">
        <v>46173</v>
      </c>
      <c r="B244" s="72" t="n">
        <v>172572877.77</v>
      </c>
      <c r="C244" s="73" t="n">
        <v>0.088</v>
      </c>
      <c r="D244" s="74" t="n">
        <f aca="false">AVERAGE(C233:C244)</f>
        <v>0.07445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2026-09-22T11:05:24Z</dcterms:created>
  <dc:creator>openpyxl</dc:creator>
  <dc:description/>
  <dc:language>en-US</dc:language>
  <cp:lastModifiedBy/>
  <dcterms:modified xsi:type="dcterms:W3CDTF">2026-09-23T11:17:16Z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